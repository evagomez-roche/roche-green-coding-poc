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iaj\Downloads\"/>
    </mc:Choice>
  </mc:AlternateContent>
  <xr:revisionPtr revIDLastSave="0" documentId="13_ncr:1_{326F7184-22FF-4D46-9772-36090CDE8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HP Current Models consolidated" sheetId="2" r:id="rId2"/>
    <sheet name="New HP Devices" sheetId="3" r:id="rId3"/>
    <sheet name="New Lenovo Devices" sheetId="4" r:id="rId4"/>
    <sheet name="New Dell devices" sheetId="5" r:id="rId5"/>
    <sheet name="Profile devices mapping" sheetId="6" r:id="rId6"/>
    <sheet name="Current HPE enrichment" sheetId="7" r:id="rId7"/>
    <sheet name="Full current HP extraction" sheetId="8" r:id="rId8"/>
    <sheet name="profile old" sheetId="9" r:id="rId9"/>
  </sheets>
  <definedNames>
    <definedName name="_xlnm._FilterDatabase" localSheetId="1" hidden="1">'HP Current Models consolidated'!$A$1:$K$45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GVxUzzezJBi+fBccvgwnxNkvRyFIH079qRguIK8W6p8="/>
    </ext>
  </extLst>
</workbook>
</file>

<file path=xl/calcChain.xml><?xml version="1.0" encoding="utf-8"?>
<calcChain xmlns="http://schemas.openxmlformats.org/spreadsheetml/2006/main">
  <c r="L10" i="5" l="1"/>
  <c r="K10" i="5"/>
  <c r="L9" i="5"/>
  <c r="K9" i="5"/>
  <c r="L8" i="5"/>
  <c r="K8" i="5"/>
  <c r="L7" i="5"/>
  <c r="K7" i="5"/>
  <c r="N10" i="1" s="1"/>
  <c r="L6" i="5"/>
  <c r="K6" i="5"/>
  <c r="L5" i="5"/>
  <c r="K5" i="5"/>
  <c r="L4" i="5"/>
  <c r="K4" i="5"/>
  <c r="L3" i="5"/>
  <c r="K3" i="5"/>
  <c r="N6" i="1" s="1"/>
  <c r="L2" i="5"/>
  <c r="K2" i="5"/>
  <c r="K10" i="4"/>
  <c r="J10" i="4"/>
  <c r="K9" i="4"/>
  <c r="J9" i="4"/>
  <c r="J12" i="1" s="1"/>
  <c r="K8" i="4"/>
  <c r="J8" i="4"/>
  <c r="F8" i="4"/>
  <c r="E8" i="4"/>
  <c r="K7" i="4"/>
  <c r="J7" i="4"/>
  <c r="K6" i="4"/>
  <c r="J6" i="4"/>
  <c r="K5" i="4"/>
  <c r="J5" i="4"/>
  <c r="J8" i="1" s="1"/>
  <c r="K4" i="4"/>
  <c r="J4" i="4"/>
  <c r="K3" i="4"/>
  <c r="J3" i="4"/>
  <c r="K2" i="4"/>
  <c r="J2" i="4"/>
  <c r="J5" i="1" s="1"/>
  <c r="J10" i="3"/>
  <c r="I10" i="3"/>
  <c r="J9" i="3"/>
  <c r="I9" i="3"/>
  <c r="J8" i="3"/>
  <c r="I8" i="3"/>
  <c r="J7" i="3"/>
  <c r="I7" i="3"/>
  <c r="F10" i="1" s="1"/>
  <c r="J6" i="3"/>
  <c r="I6" i="3"/>
  <c r="F9" i="1" s="1"/>
  <c r="J5" i="3"/>
  <c r="I5" i="3"/>
  <c r="J4" i="3"/>
  <c r="I4" i="3"/>
  <c r="J3" i="3"/>
  <c r="I3" i="3"/>
  <c r="J2" i="3"/>
  <c r="I2" i="3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E37" i="2"/>
  <c r="D37" i="2"/>
  <c r="G36" i="2"/>
  <c r="F36" i="2"/>
  <c r="E36" i="2"/>
  <c r="D36" i="2"/>
  <c r="G35" i="2"/>
  <c r="E35" i="2"/>
  <c r="D35" i="2"/>
  <c r="G34" i="2"/>
  <c r="E34" i="2"/>
  <c r="D34" i="2"/>
  <c r="G33" i="2"/>
  <c r="F33" i="2"/>
  <c r="E33" i="2"/>
  <c r="D33" i="2"/>
  <c r="E32" i="2"/>
  <c r="D32" i="2"/>
  <c r="G31" i="2"/>
  <c r="E31" i="2"/>
  <c r="D31" i="2"/>
  <c r="G30" i="2"/>
  <c r="F30" i="2"/>
  <c r="E30" i="2"/>
  <c r="D30" i="2"/>
  <c r="G29" i="2"/>
  <c r="F29" i="2"/>
  <c r="E29" i="2"/>
  <c r="D29" i="2"/>
  <c r="G28" i="2"/>
  <c r="F28" i="2"/>
  <c r="E28" i="2"/>
  <c r="D28" i="2"/>
  <c r="G27" i="2"/>
  <c r="F27" i="2"/>
  <c r="E27" i="2"/>
  <c r="D27" i="2"/>
  <c r="G26" i="2"/>
  <c r="F26" i="2"/>
  <c r="E26" i="2"/>
  <c r="D26" i="2"/>
  <c r="E25" i="2"/>
  <c r="D25" i="2"/>
  <c r="E24" i="2"/>
  <c r="D24" i="2"/>
  <c r="E23" i="2"/>
  <c r="D23" i="2"/>
  <c r="G22" i="2"/>
  <c r="E22" i="2"/>
  <c r="D22" i="2"/>
  <c r="G21" i="2"/>
  <c r="F21" i="2"/>
  <c r="E21" i="2"/>
  <c r="D21" i="2"/>
  <c r="G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E14" i="2"/>
  <c r="D14" i="2"/>
  <c r="G13" i="2"/>
  <c r="F13" i="2"/>
  <c r="E13" i="2"/>
  <c r="D13" i="2"/>
  <c r="E12" i="2"/>
  <c r="D12" i="2"/>
  <c r="G11" i="2"/>
  <c r="F11" i="2"/>
  <c r="E11" i="2"/>
  <c r="D11" i="2"/>
  <c r="G10" i="2"/>
  <c r="F10" i="2"/>
  <c r="E10" i="2"/>
  <c r="D10" i="2"/>
  <c r="G9" i="2"/>
  <c r="E9" i="2"/>
  <c r="D9" i="2"/>
  <c r="G8" i="2"/>
  <c r="F8" i="2"/>
  <c r="E8" i="2"/>
  <c r="D8" i="2"/>
  <c r="E7" i="2"/>
  <c r="D7" i="2"/>
  <c r="G6" i="2"/>
  <c r="F6" i="2"/>
  <c r="E6" i="2"/>
  <c r="D6" i="2"/>
  <c r="E5" i="2"/>
  <c r="D5" i="2"/>
  <c r="G4" i="2"/>
  <c r="F4" i="2"/>
  <c r="E4" i="2"/>
  <c r="D4" i="2"/>
  <c r="G3" i="2"/>
  <c r="F3" i="2"/>
  <c r="E3" i="2"/>
  <c r="D3" i="2"/>
  <c r="E2" i="2"/>
  <c r="D2" i="2"/>
  <c r="O13" i="1"/>
  <c r="N13" i="1"/>
  <c r="Q13" i="1" s="1"/>
  <c r="K13" i="1"/>
  <c r="J13" i="1"/>
  <c r="M13" i="1" s="1"/>
  <c r="G13" i="1"/>
  <c r="F13" i="1"/>
  <c r="I13" i="1" s="1"/>
  <c r="E13" i="1"/>
  <c r="C13" i="1"/>
  <c r="B13" i="1"/>
  <c r="O12" i="1"/>
  <c r="N12" i="1"/>
  <c r="Q12" i="1" s="1"/>
  <c r="K12" i="1"/>
  <c r="G12" i="1"/>
  <c r="F12" i="1"/>
  <c r="I12" i="1" s="1"/>
  <c r="C12" i="1"/>
  <c r="B12" i="1"/>
  <c r="E12" i="1" s="1"/>
  <c r="O11" i="1"/>
  <c r="N11" i="1"/>
  <c r="Q11" i="1" s="1"/>
  <c r="K11" i="1"/>
  <c r="J11" i="1"/>
  <c r="L11" i="1" s="1"/>
  <c r="G11" i="1"/>
  <c r="F11" i="1"/>
  <c r="I11" i="1" s="1"/>
  <c r="C11" i="1"/>
  <c r="B11" i="1"/>
  <c r="E11" i="1" s="1"/>
  <c r="O10" i="1"/>
  <c r="K10" i="1"/>
  <c r="J10" i="1"/>
  <c r="M10" i="1" s="1"/>
  <c r="G10" i="1"/>
  <c r="C10" i="1"/>
  <c r="B10" i="1"/>
  <c r="E10" i="1" s="1"/>
  <c r="Q9" i="1"/>
  <c r="P9" i="1"/>
  <c r="O9" i="1"/>
  <c r="N9" i="1"/>
  <c r="K9" i="1"/>
  <c r="J9" i="1"/>
  <c r="M9" i="1" s="1"/>
  <c r="G9" i="1"/>
  <c r="E9" i="1"/>
  <c r="C9" i="1"/>
  <c r="B9" i="1"/>
  <c r="Q8" i="1"/>
  <c r="P8" i="1"/>
  <c r="O8" i="1"/>
  <c r="N8" i="1"/>
  <c r="K8" i="1"/>
  <c r="I8" i="1"/>
  <c r="H8" i="1"/>
  <c r="G8" i="1"/>
  <c r="F8" i="1"/>
  <c r="C8" i="1"/>
  <c r="B8" i="1"/>
  <c r="E8" i="1" s="1"/>
  <c r="O7" i="1"/>
  <c r="N7" i="1"/>
  <c r="Q7" i="1" s="1"/>
  <c r="K7" i="1"/>
  <c r="J7" i="1"/>
  <c r="M7" i="1" s="1"/>
  <c r="G7" i="1"/>
  <c r="F7" i="1"/>
  <c r="H7" i="1" s="1"/>
  <c r="C7" i="1"/>
  <c r="B7" i="1"/>
  <c r="E7" i="1" s="1"/>
  <c r="O6" i="1"/>
  <c r="M6" i="1"/>
  <c r="K6" i="1"/>
  <c r="J6" i="1"/>
  <c r="L6" i="1" s="1"/>
  <c r="G6" i="1"/>
  <c r="F6" i="1"/>
  <c r="I6" i="1" s="1"/>
  <c r="E6" i="1"/>
  <c r="C6" i="1"/>
  <c r="B6" i="1"/>
  <c r="O5" i="1"/>
  <c r="N5" i="1"/>
  <c r="Q5" i="1" s="1"/>
  <c r="K5" i="1"/>
  <c r="G5" i="1"/>
  <c r="F5" i="1"/>
  <c r="I5" i="1" s="1"/>
  <c r="E5" i="1"/>
  <c r="C5" i="1"/>
  <c r="B5" i="1"/>
  <c r="P10" i="1" l="1"/>
  <c r="Q10" i="1"/>
  <c r="L5" i="1"/>
  <c r="M5" i="1"/>
  <c r="M12" i="1"/>
  <c r="L12" i="1"/>
  <c r="I14" i="1"/>
  <c r="E14" i="1"/>
  <c r="H9" i="1"/>
  <c r="I9" i="1"/>
  <c r="L8" i="1"/>
  <c r="M8" i="1"/>
  <c r="H10" i="1"/>
  <c r="I10" i="1"/>
  <c r="Q6" i="1"/>
  <c r="P6" i="1"/>
  <c r="Q14" i="1"/>
  <c r="N2" i="1" s="1"/>
  <c r="P7" i="1"/>
  <c r="H6" i="1"/>
  <c r="I7" i="1"/>
  <c r="L10" i="1"/>
  <c r="M11" i="1"/>
  <c r="H5" i="1"/>
  <c r="L9" i="1"/>
  <c r="P12" i="1"/>
  <c r="P5" i="1"/>
  <c r="H12" i="1"/>
  <c r="L7" i="1"/>
  <c r="H11" i="1"/>
  <c r="P11" i="1"/>
  <c r="H14" i="1" l="1"/>
  <c r="L14" i="1"/>
  <c r="F2" i="1"/>
  <c r="M14" i="1"/>
  <c r="J2" i="1" s="1"/>
  <c r="P14" i="1"/>
</calcChain>
</file>

<file path=xl/sharedStrings.xml><?xml version="1.0" encoding="utf-8"?>
<sst xmlns="http://schemas.openxmlformats.org/spreadsheetml/2006/main" count="1427" uniqueCount="618">
  <si>
    <t>CO2 reduction comparaison marketing-based</t>
  </si>
  <si>
    <t>ACTUALS BASELINE (BL)</t>
  </si>
  <si>
    <t>HP</t>
  </si>
  <si>
    <t>LENOVO</t>
  </si>
  <si>
    <t>DELL</t>
  </si>
  <si>
    <t>Profile</t>
  </si>
  <si>
    <t>Avg PCF</t>
  </si>
  <si>
    <t>Avg Energy</t>
  </si>
  <si>
    <t>#Instances</t>
  </si>
  <si>
    <t>Kg CO2 Est.</t>
  </si>
  <si>
    <t>vs BL</t>
  </si>
  <si>
    <t>Disclaimers</t>
  </si>
  <si>
    <t>- Scope: Focused on high-volume models (Top 20% / Pareto).
- Data Source: Based on vendor marketing data; subject to methodology variances.
- Time Horizon: Projections follow the 2030 replacement roadmap.
- Exclusions: Logistics (Air/Sea), packaging, and circularity (refurbishment) are not factored in.
- Green Energy: Focuses on Embodied Carbon (PCF), assuming 100% renewable energy at Roche sites.</t>
  </si>
  <si>
    <t>Original Model</t>
  </si>
  <si>
    <t>Mapped to  HP naming convention</t>
  </si>
  <si>
    <t>CO2 Emission (Kg CO2)</t>
  </si>
  <si>
    <t>Alternative option (North America)</t>
  </si>
  <si>
    <t>Final Consolidated CO2 PCF</t>
  </si>
  <si>
    <t>Use Energy Demand (kWh/yr)</t>
  </si>
  <si>
    <t>Remarks</t>
  </si>
  <si>
    <t>Daniel Notes</t>
  </si>
  <si>
    <t>HP EliteBook 840 G8 Notebook PC</t>
  </si>
  <si>
    <t>HP EliteBook 840 G8</t>
  </si>
  <si>
    <t>Is the mapping correct?"</t>
  </si>
  <si>
    <t>Updated Model</t>
  </si>
  <si>
    <t>HP EliteBook 840 14 inch G11 Notebook PC</t>
  </si>
  <si>
    <t>Correct</t>
  </si>
  <si>
    <t>HP EliteBook 840 14 inch G10 Notebook PC</t>
  </si>
  <si>
    <t>Same as row 2?</t>
  </si>
  <si>
    <t>Sames as row 3?</t>
  </si>
  <si>
    <t>Same as row 3</t>
  </si>
  <si>
    <t>HP EliteBook 840 14 inch G9 Notebook PC</t>
  </si>
  <si>
    <t>HP EliteBook 84014 inch G9 Notebook PC</t>
  </si>
  <si>
    <t>Sames as row 4?</t>
  </si>
  <si>
    <t>Same as row 4</t>
  </si>
  <si>
    <t>HP EliteBook 850 G8 Notebook PC</t>
  </si>
  <si>
    <t>HP EliteBook 850 G8</t>
  </si>
  <si>
    <t>HP EliteBook 860 16 inch G11 Notebook PC</t>
  </si>
  <si>
    <t>HP Elitebook 860 G11</t>
  </si>
  <si>
    <t>HP EliteBook 860 16 inch G9 Notebook PC</t>
  </si>
  <si>
    <t>HP EliteBook 860 G9 Notebook PC</t>
  </si>
  <si>
    <t>HP EliteBook 8 G1i 14 inch Notebook AI PC</t>
  </si>
  <si>
    <t>HP EliteBook-Zbook 8 G1i 16 inch Notebook AI</t>
  </si>
  <si>
    <t>HP EliteBook 8 G1i 16 inch Notebook AI PC</t>
  </si>
  <si>
    <t>Same as row 10?</t>
  </si>
  <si>
    <t>Same as row 10</t>
  </si>
  <si>
    <t>Same as row 11?</t>
  </si>
  <si>
    <t>Same as row 11</t>
  </si>
  <si>
    <t>HP EliteBook 850 G7 Notebook PC</t>
  </si>
  <si>
    <t>HP EliteBook 850 G7 &amp; HP ZBook Firefly 15 G7</t>
  </si>
  <si>
    <t>HP Elite Dragonfly G2 Notebook PC</t>
  </si>
  <si>
    <t>HP Elite Dragonfly G2</t>
  </si>
  <si>
    <t>HP Elite Dragonfly</t>
  </si>
  <si>
    <t>HP EliteBook x360 1040 G8 Notebook PC</t>
  </si>
  <si>
    <t>HP EliteBook x360 830 G8</t>
  </si>
  <si>
    <t>HP ZBook Fury 16 G11 Mobile Workstation PC</t>
  </si>
  <si>
    <t>HP ZBook Fury 15.6 inch G8 Mobile Workstation PC</t>
  </si>
  <si>
    <t>HP Zbook Fury 15 G8</t>
  </si>
  <si>
    <t>HP ZBook Firefly 16 inch G11 Mobile Workstation PC</t>
  </si>
  <si>
    <t>HP ZBook Firefly 14 inch G11 A Mobile Workstation PC ENERGY STAR</t>
  </si>
  <si>
    <t>HP ZBook Fury 15 G7 Mobile Workstation</t>
  </si>
  <si>
    <t>HP ZBook Fury 15 G7</t>
  </si>
  <si>
    <r>
      <rPr>
        <sz val="11"/>
        <color theme="1"/>
        <rFont val="Aptos Narrow"/>
      </rPr>
      <t xml:space="preserve">HP ZBook Firefly 14 inch </t>
    </r>
    <r>
      <rPr>
        <sz val="11"/>
        <color rgb="FFFF0000"/>
        <rFont val="Aptos Narrow"/>
      </rPr>
      <t>G8</t>
    </r>
    <r>
      <rPr>
        <sz val="11"/>
        <color theme="1"/>
        <rFont val="Aptos Narrow"/>
      </rPr>
      <t xml:space="preserve"> Mobile Workstation PC</t>
    </r>
  </si>
  <si>
    <t>HP ZBook Firefly 14 G8 Mobile Workstation</t>
  </si>
  <si>
    <t>HP ZBook Fury 16 G9 Mobile Workstation PC</t>
  </si>
  <si>
    <t>HP ZBook Fury 16 G10 Mobile Workstation PC</t>
  </si>
  <si>
    <t>HP Elite x2 G8 Tablet</t>
  </si>
  <si>
    <t>HP Elite x2 G8</t>
  </si>
  <si>
    <t>HP Elite x2 G4</t>
  </si>
  <si>
    <t>HP Elite x2 1012 G2</t>
  </si>
  <si>
    <t>HP EliteBook x360 830 G8 Notebook PC</t>
  </si>
  <si>
    <t>HP Elite x360 830 13 inch G11 2-in-1 Notebook PC</t>
  </si>
  <si>
    <t>HP Elite x360 830 13 inch G11 2-in-1 Notebook PC ENERGY STAR</t>
  </si>
  <si>
    <t>HP Elite x360 830 13 inch G10 2-in-1 Notebook PC</t>
  </si>
  <si>
    <t>HP Elite Mini 800 G9 Desktop PC</t>
  </si>
  <si>
    <t>HP EliteDesk 800 G6 Desktop Mini PC</t>
  </si>
  <si>
    <t>HP EliteDesk 800 G6 Desktop Mini PC (ENERGY STAR)</t>
  </si>
  <si>
    <t>HP EliteDesk 800 G5 Desktop Mini</t>
  </si>
  <si>
    <t>HP EliteDesk 800 G6 Tower PC</t>
  </si>
  <si>
    <t>HP Elite Tower 800 G9 Desktop PC</t>
  </si>
  <si>
    <t>HP Engage One Pro AIO System</t>
  </si>
  <si>
    <t>HP Engage One Pro AiO System (15.6)</t>
  </si>
  <si>
    <t>HP EliteDesk 800 G4 DM 65W</t>
  </si>
  <si>
    <t>HP EliteDesk 800 G4 DM</t>
  </si>
  <si>
    <t>HP EliteDesk 800 G5 TWR</t>
  </si>
  <si>
    <t>HP Z4 G4 Workstation</t>
  </si>
  <si>
    <t>HP Z4 G4 Tower</t>
  </si>
  <si>
    <t>HP Z4 G5 Workstation Desktop PC</t>
  </si>
  <si>
    <t>HP Z4 G5 Workstation</t>
  </si>
  <si>
    <t>HP Z2 Tower G9 Workstation Desktop PC</t>
  </si>
  <si>
    <t>HP Engage Go 13.5 inch Mobile System</t>
  </si>
  <si>
    <t>Model</t>
  </si>
  <si>
    <t>PCF (Kg CO2)</t>
  </si>
  <si>
    <t>EliteBook 6 G1i 14 AI</t>
  </si>
  <si>
    <t>EliteBook 6 G1a 14 AI</t>
  </si>
  <si>
    <t>EliteBook 6 G1i 16 AI</t>
  </si>
  <si>
    <t>EliteBook 6 G1a 16 AI</t>
  </si>
  <si>
    <t>EliteBook X G1a NGAI</t>
  </si>
  <si>
    <t>EliteBook X G1i NGAI</t>
  </si>
  <si>
    <t>EliteBook 8 G1i Flip AI</t>
  </si>
  <si>
    <t>EliteBook X Flip NGAI</t>
  </si>
  <si>
    <t>ZBook Fury G1i 16</t>
  </si>
  <si>
    <t>Estimated</t>
  </si>
  <si>
    <t>ZBook Power 16 G11 A</t>
  </si>
  <si>
    <t>ProDesk 4 Mini G1i</t>
  </si>
  <si>
    <t>EliteDesk 8 G1a Mini</t>
  </si>
  <si>
    <t>ProDesk 4 G1i SFF</t>
  </si>
  <si>
    <t>EliteDesk 805 G9 SFF</t>
  </si>
  <si>
    <t>Z4 G5</t>
  </si>
  <si>
    <t>Engage Go 10</t>
  </si>
  <si>
    <t>No clear profile match</t>
  </si>
  <si>
    <t>Device</t>
  </si>
  <si>
    <t>Persona</t>
  </si>
  <si>
    <t>Lenovo Models</t>
  </si>
  <si>
    <t>PCF</t>
  </si>
  <si>
    <t>Energy per year KwH</t>
  </si>
  <si>
    <t>Laptop</t>
  </si>
  <si>
    <t>Profile 1 – Standard User</t>
  </si>
  <si>
    <t>Option 1 - ThinkPad T14 Gen 6, Core Ultra 5 235U, 16GB, 256GB, Touch</t>
  </si>
  <si>
    <t>Option 2 - ThinkPad T14 Gen 5, AMD Ryzen 5 PRO 8540U, 16GB, 256GB, Touch</t>
  </si>
  <si>
    <t>Profile 2 – Std User w/ customization</t>
  </si>
  <si>
    <t>Option 1 - ThinkPad T16 Gen 4, Intel Core Ultra 7 265U, 16GB, 256GB, Touch</t>
  </si>
  <si>
    <t>Option 2 - ThinkPad T16 Gen 4, AMD Ryzen AI 7 PRO 350, 16GB, 256GB, Touch</t>
  </si>
  <si>
    <t>Profile 3 – VIP Users</t>
  </si>
  <si>
    <t>Option 1 - ThinkPad X1 Carbon G13, Intel Core Ultra 7 265U, 16GB, 256GB, Touch</t>
  </si>
  <si>
    <t>Only G12 avaiable</t>
  </si>
  <si>
    <t>Option 2 - ThinkPad X9-14 Gen 1, Intel Core Ultra 7 268V, 32GB, 256GB, Touch</t>
  </si>
  <si>
    <t>Profile 4 – Max Performance</t>
  </si>
  <si>
    <t>MWST ThinkPad P16v Gen 2, Intel Core Ultra 7 165H vPRO, 32GB, 1TB, RTX 2000</t>
  </si>
  <si>
    <t>Mean between Gen 3 and gen 1</t>
  </si>
  <si>
    <t>Profile 5 – 2-in-1 Detachable</t>
  </si>
  <si>
    <t>ThinkPad X12 Detachable Gen 2, Intel Core Ultra 5 134U, 16GB, 256GB</t>
  </si>
  <si>
    <t>with keyboard</t>
  </si>
  <si>
    <t>Profile 6 – 2-in-1 Convertible</t>
  </si>
  <si>
    <t>ThinkPad T14s 2-in-1 Gen 1, Intel Core Ultra 5 235U, 16GB, 256GB, Touch</t>
  </si>
  <si>
    <t>Used gen 3 for kwh. Could be more</t>
  </si>
  <si>
    <t>Desktop</t>
  </si>
  <si>
    <t>Profile 7 – Standard Desktop</t>
  </si>
  <si>
    <t>Tiny - ThinkCentre M75q Gen 5, AMD Ryzen 5 PRO 8500GE, 16GB, 256GB</t>
  </si>
  <si>
    <t>SFF - ThinkCentre M75s Gen5, AMD Ryzen 5 8500G, 16GB, 256GB</t>
  </si>
  <si>
    <t>Tower - ThinkCentre M70t Gen 6, Intel Core Ultra 7 265, 16GB, 256GB</t>
  </si>
  <si>
    <t>Profile 8 – Workstation CAD</t>
  </si>
  <si>
    <t>ThinkStation P5, Intel® Xeon® W3-2525 Processor, 32GB, 1TB, RTX 4000</t>
  </si>
  <si>
    <t>Tablet</t>
  </si>
  <si>
    <t>Profile 9 – Standard User Tablet</t>
  </si>
  <si>
    <t>Total Carbon Footprint (EU Baseline) KgCO2</t>
  </si>
  <si>
    <t>Energy Demand (Yearly TEC)  kWh/a</t>
  </si>
  <si>
    <t>Dell Pro 16 Clamshell - PC16250</t>
  </si>
  <si>
    <t>Dell Pro Clamshell 14 - PC14250</t>
  </si>
  <si>
    <t>Dell Pro 14 Clamshell - PA14250</t>
  </si>
  <si>
    <t>Dell Pro Max 16 (MC16250)</t>
  </si>
  <si>
    <t>Dell Pro 14 - 2 in 1 PB14250</t>
  </si>
  <si>
    <t>Dell Pro Micro - QCM1250</t>
  </si>
  <si>
    <t>Dell Pro Slim - QCS1250</t>
  </si>
  <si>
    <t>Dell Pro Max T2 (FCT2250)</t>
  </si>
  <si>
    <t>Latitude 7350 Detachable</t>
  </si>
  <si>
    <t>Latitude 7030 Rugged</t>
  </si>
  <si>
    <t>Latitude 7230 Rugged</t>
  </si>
  <si>
    <t>CapEx</t>
  </si>
  <si>
    <t>Lenovo</t>
  </si>
  <si>
    <t>Dell</t>
  </si>
  <si>
    <t>Type of Profile</t>
  </si>
  <si>
    <t>OEM Model</t>
  </si>
  <si>
    <t>Processor Brand</t>
  </si>
  <si>
    <t>Processor Model</t>
  </si>
  <si>
    <t>Average Cost
(12GB)</t>
  </si>
  <si>
    <t>Average Cost
(32GB)</t>
  </si>
  <si>
    <t>Profile 1</t>
  </si>
  <si>
    <t>Laptop - Standard user</t>
  </si>
  <si>
    <t>EliteBook 6 G1i 14</t>
  </si>
  <si>
    <t>Intel</t>
  </si>
  <si>
    <t>Ultra 5 - 235U</t>
  </si>
  <si>
    <t>$566</t>
  </si>
  <si>
    <t>$683</t>
  </si>
  <si>
    <t>T14 Gen 6</t>
  </si>
  <si>
    <t>$681</t>
  </si>
  <si>
    <t>$857</t>
  </si>
  <si>
    <t>Dell Pro 14</t>
  </si>
  <si>
    <t>$1,011</t>
  </si>
  <si>
    <t>-</t>
  </si>
  <si>
    <t>EliteBook 6 G1a 14</t>
  </si>
  <si>
    <t>AMD</t>
  </si>
  <si>
    <t>Ryzen 5 PRO 230</t>
  </si>
  <si>
    <t>$535</t>
  </si>
  <si>
    <t>$652</t>
  </si>
  <si>
    <t>ThinkPad L14 Gen 6</t>
  </si>
  <si>
    <t>$591</t>
  </si>
  <si>
    <t>$767</t>
  </si>
  <si>
    <t>$973</t>
  </si>
  <si>
    <t>Profile 2</t>
  </si>
  <si>
    <t>Laptop - Standard user with customization</t>
  </si>
  <si>
    <t>EliteBook 6 G1i 16</t>
  </si>
  <si>
    <t>U5-235U</t>
  </si>
  <si>
    <t>$586</t>
  </si>
  <si>
    <t>$704</t>
  </si>
  <si>
    <t>T16 Gen 4</t>
  </si>
  <si>
    <t>Ultra 5 235U</t>
  </si>
  <si>
    <t>$736</t>
  </si>
  <si>
    <t>$912</t>
  </si>
  <si>
    <t>Dell Pro 16</t>
  </si>
  <si>
    <t>$995</t>
  </si>
  <si>
    <t>EliteBook 6 G1a 16</t>
  </si>
  <si>
    <t>$556</t>
  </si>
  <si>
    <t>$672</t>
  </si>
  <si>
    <t>ThinkPad L16 Gen 2</t>
  </si>
  <si>
    <t>$714</t>
  </si>
  <si>
    <t>$890</t>
  </si>
  <si>
    <t>Ryzen AI 7 350</t>
  </si>
  <si>
    <t>$977</t>
  </si>
  <si>
    <t>Profile 3</t>
  </si>
  <si>
    <t>Laptop - User with great performance needs</t>
  </si>
  <si>
    <t>U7-266V</t>
  </si>
  <si>
    <t>$961</t>
  </si>
  <si>
    <t>X1 Carbon Gen 13</t>
  </si>
  <si>
    <t>Ultra 7 - 265U</t>
  </si>
  <si>
    <t>$1,117</t>
  </si>
  <si>
    <t>Dell Pro 14 Premium</t>
  </si>
  <si>
    <t>Ultra 7 266V</t>
  </si>
  <si>
    <t>$1,591</t>
  </si>
  <si>
    <t>Ryzen AI 7 Pro 360</t>
  </si>
  <si>
    <t>$901</t>
  </si>
  <si>
    <t>$1,043</t>
  </si>
  <si>
    <t>X9-14 Gen 1</t>
  </si>
  <si>
    <t>Ultra 7 - 268V</t>
  </si>
  <si>
    <t>$1,219</t>
  </si>
  <si>
    <t>Profile 4</t>
  </si>
  <si>
    <t>Laptop - User with max performance needs</t>
  </si>
  <si>
    <t>U7-265HX</t>
  </si>
  <si>
    <t>$1,560</t>
  </si>
  <si>
    <t>P16v Gen 3</t>
  </si>
  <si>
    <t>Ultra 7 - 265H</t>
  </si>
  <si>
    <t>$2,210</t>
  </si>
  <si>
    <t>Dell Pro Max 16</t>
  </si>
  <si>
    <t>Ultra 7 265H</t>
  </si>
  <si>
    <t>$1,748</t>
  </si>
  <si>
    <t>Zbook Power 16 G11a</t>
  </si>
  <si>
    <t>Ryzen 9 Pro 8945HS</t>
  </si>
  <si>
    <t>$1,131</t>
  </si>
  <si>
    <t>Profile 5</t>
  </si>
  <si>
    <t>Laptop - 2-in-1 User (tablet)</t>
  </si>
  <si>
    <t>X12 Detachable Gen 2</t>
  </si>
  <si>
    <t>Ultra 5 - 134U</t>
  </si>
  <si>
    <t>$1,232</t>
  </si>
  <si>
    <t>Dell Latitude 7350 Detachable</t>
  </si>
  <si>
    <t>Ultra 7 164U</t>
  </si>
  <si>
    <t>$1,901</t>
  </si>
  <si>
    <t>Profile 6</t>
  </si>
  <si>
    <t>Laptop - 2-in-1 User (convertible)</t>
  </si>
  <si>
    <t>EliteBook X Flip G1i NGAI</t>
  </si>
  <si>
    <t>U5- 236V</t>
  </si>
  <si>
    <t>$790</t>
  </si>
  <si>
    <t>T14s 2-in-1 Gen 1</t>
  </si>
  <si>
    <t>$999</t>
  </si>
  <si>
    <t>Dell Pro 14 Plus</t>
  </si>
  <si>
    <t>$1,267</t>
  </si>
  <si>
    <t>EliteBook 8 G1i Flip</t>
  </si>
  <si>
    <t>$804</t>
  </si>
  <si>
    <t>Profile 7</t>
  </si>
  <si>
    <t>Desktop - Standard User</t>
  </si>
  <si>
    <t>ProDesk 4 G1i Mini</t>
  </si>
  <si>
    <t>U5-235T</t>
  </si>
  <si>
    <t>$500</t>
  </si>
  <si>
    <t>M70t Gen 6</t>
  </si>
  <si>
    <t>Ultra 5 235T</t>
  </si>
  <si>
    <t>$648</t>
  </si>
  <si>
    <t>Dell Pro Micro</t>
  </si>
  <si>
    <t>$861</t>
  </si>
  <si>
    <t>Ryzen 5-340</t>
  </si>
  <si>
    <t>M70q Gen 6</t>
  </si>
  <si>
    <t>$616</t>
  </si>
  <si>
    <t>Dell Pro Slim</t>
  </si>
  <si>
    <t>Ultra 5 235</t>
  </si>
  <si>
    <t>Ultra 7 - 265</t>
  </si>
  <si>
    <t>$627</t>
  </si>
  <si>
    <t>M75q Gen 5</t>
  </si>
  <si>
    <t>Ryzen 5 PRO - 8500GE</t>
  </si>
  <si>
    <t>EliteDesk 805 SFF G9</t>
  </si>
  <si>
    <t>R7 Pro 8700G</t>
  </si>
  <si>
    <t>M75s Gen 5</t>
  </si>
  <si>
    <t>Ryzen 5 8500G</t>
  </si>
  <si>
    <t>$617</t>
  </si>
  <si>
    <t>Profile 8</t>
  </si>
  <si>
    <t>Desktop - Workstation CAD</t>
  </si>
  <si>
    <t>Workstation Z4 G5</t>
  </si>
  <si>
    <t>Xeon W3-2525</t>
  </si>
  <si>
    <t>NA</t>
  </si>
  <si>
    <t>$1,795</t>
  </si>
  <si>
    <t>P5</t>
  </si>
  <si>
    <t>Xeon W3 - 2525</t>
  </si>
  <si>
    <t>$4,174</t>
  </si>
  <si>
    <t>Dell Pro Max Tower T2</t>
  </si>
  <si>
    <t>Ultra 9 285</t>
  </si>
  <si>
    <t>$1,749</t>
  </si>
  <si>
    <t>Profile 9</t>
  </si>
  <si>
    <t>Tablet - Standard</t>
  </si>
  <si>
    <t>Dell Latitude 7030</t>
  </si>
  <si>
    <t>i5-1240U</t>
  </si>
  <si>
    <t>$1,895</t>
  </si>
  <si>
    <t>Notes</t>
  </si>
  <si>
    <t xml:space="preserve">Dell removed Dell Pro Micro QBM1250 &amp; Dell Pro Slim 
</t>
  </si>
  <si>
    <t>Dell did not provide the information for 32 GB</t>
  </si>
  <si>
    <t>Hilighted in red specs not updated based on our request</t>
  </si>
  <si>
    <t>HP did not provide the requested memory SKUs</t>
  </si>
  <si>
    <t>HP is offering U7-265HX processor for Profile 4 (Intel) instead of Ultra 7 165H vPRO, RTX 2000 ADA, AX211, PL. Clarify with them if the processor proposed also includes RTX 2000 ADA graphics</t>
  </si>
  <si>
    <t>Not in portofolio from HP - Yes confirmed</t>
  </si>
  <si>
    <t>Dell in Profile 2 (AMD) is offering AMD Ryzen(TM) AI 7 350 Processor with AMD Radeon(TM) 860M graphics instead of AMD Ryzen™ 5 PRO 230 required. Needs clarification</t>
  </si>
  <si>
    <t>Dell in Profile 4 (Intel)( is offering Intel Core Ultra 7 265H, vPro Enterprise (24MB, 16 cores, 16 threads, up to 5.30 GHz Turbo, 45W) instead of Ultra 7 165H vPRO, RTX 2000 ADA, AX211, PL required. Needs clarification</t>
  </si>
  <si>
    <t>Dell in Profile 8 (Intel) is offering Intel Core Ultra 9 285 processor instead of Intel® Xeon® W3-2525 Processor (3.50 GHz up to 4.50 GHz). Needs clarification</t>
  </si>
  <si>
    <t>Lenovo offered in Profile 4 "Ultra 7 265H vPRO, 32GB, 1TB, RTX 2000" instead of "Ultra 7 165H vPRO, RTX 2000 ADA, AX211, PL". Clarify with them</t>
  </si>
  <si>
    <t>Lenovo offered in Profile 6 "Intel Ultra 5 235U" instead of "Intel Ultra 5 236V". Needs clarification</t>
  </si>
  <si>
    <t>Lenovo offered In profile 7 Ryzen 7 PRO 8700G instead of AMD Ryzen 5 8500G. Needs clarification</t>
  </si>
  <si>
    <t>Total PCF for Europe (kg CO2e)</t>
  </si>
  <si>
    <t>HP EliteBook 840 G8 - ZBook Firefly 14 G8</t>
  </si>
  <si>
    <t>HP EliteBook 840 G9</t>
  </si>
  <si>
    <t>200 (North America),</t>
  </si>
  <si>
    <t>220 (North America),</t>
  </si>
  <si>
    <t>HP ZBook Fury 15 G8</t>
  </si>
  <si>
    <t>300 (North America),</t>
  </si>
  <si>
    <t>HP ZBook Firefly 14 inch G11 A Mobile Workstation PC</t>
  </si>
  <si>
    <t>205 (North America),</t>
  </si>
  <si>
    <t>185 (North America),</t>
  </si>
  <si>
    <t>285 (North America),</t>
  </si>
  <si>
    <t>250 (North America),</t>
  </si>
  <si>
    <t>Name and model</t>
  </si>
  <si>
    <t>Total PCF (North America)</t>
  </si>
  <si>
    <t>Total PCF (Europe)</t>
  </si>
  <si>
    <t>Total PCF (Asia Pacific)</t>
  </si>
  <si>
    <t>Manufacturing (%)</t>
  </si>
  <si>
    <t>Use (%)</t>
  </si>
  <si>
    <t>Distribution (%)</t>
  </si>
  <si>
    <t>End of Life (%)</t>
  </si>
  <si>
    <t>Main board and other boards (%)</t>
  </si>
  <si>
    <t>Solid state drive (SSD) (%)</t>
  </si>
  <si>
    <t>Display (%)</t>
  </si>
  <si>
    <t>Chassis (%)</t>
  </si>
  <si>
    <t>Batteries (%)</t>
  </si>
  <si>
    <t>Power supply unit &amp; external cables (%)</t>
  </si>
  <si>
    <t>Others (%)</t>
  </si>
  <si>
    <t>Packaging (%)</t>
  </si>
  <si>
    <t>Source</t>
  </si>
  <si>
    <t>&lt; 1%</t>
  </si>
  <si>
    <t>Not in source</t>
  </si>
  <si>
    <t>43.2%</t>
  </si>
  <si>
    <t>41.0%</t>
  </si>
  <si>
    <t>3.6%</t>
  </si>
  <si>
    <t>5.5%</t>
  </si>
  <si>
    <t>0.4%</t>
  </si>
  <si>
    <t>Count of Netbios_Name0</t>
  </si>
  <si>
    <t>Budget Replacement Year</t>
  </si>
  <si>
    <t>ModelName</t>
  </si>
  <si>
    <t>Persona Profile</t>
  </si>
  <si>
    <t>NULL</t>
  </si>
  <si>
    <t>Grand Total</t>
  </si>
  <si>
    <t>New Installations, Isolated Clients, Inventory Issue</t>
  </si>
  <si>
    <t>10MLS04C00</t>
  </si>
  <si>
    <t>21CGS0FR00</t>
  </si>
  <si>
    <t>21SDS0BB00</t>
  </si>
  <si>
    <t>21SDS0BB03</t>
  </si>
  <si>
    <t>77K98EC</t>
  </si>
  <si>
    <t>77L35EC#ACJ</t>
  </si>
  <si>
    <t>800 G5 DM DP PC I7 9700</t>
  </si>
  <si>
    <t>Agile_S</t>
  </si>
  <si>
    <t>APC910</t>
  </si>
  <si>
    <t>CRB-2</t>
  </si>
  <si>
    <t>Dell Pro Max 16 Plus MB16250</t>
  </si>
  <si>
    <t>Dell Pro Micro QCM1250</t>
  </si>
  <si>
    <t>G9L79UP</t>
  </si>
  <si>
    <t>HP 800G3ED TWR I76700</t>
  </si>
  <si>
    <t>HP Compaq 8000 Elite CMT PC</t>
  </si>
  <si>
    <t>HP Elite</t>
  </si>
  <si>
    <t>HP Pavilion Gaming Laptop</t>
  </si>
  <si>
    <t>Intense-PC2 (IPC2)</t>
  </si>
  <si>
    <t>Intense-PC2-BRW (IPC2)</t>
  </si>
  <si>
    <t>MS-CF02</t>
  </si>
  <si>
    <t>PPC2200</t>
  </si>
  <si>
    <t>SAA8</t>
  </si>
  <si>
    <t>Standard PC (Q35 + ICH9, 2009)</t>
  </si>
  <si>
    <t>SYS-7048GR-TR</t>
  </si>
  <si>
    <t>System Product Name</t>
  </si>
  <si>
    <t>X11SSV-Q</t>
  </si>
  <si>
    <t>New Installations, Isolated Clients, Inventory Issue Total</t>
  </si>
  <si>
    <t>21KYS8WK00</t>
  </si>
  <si>
    <t>Profile 1 Customized, Standard User 14” screen and +16gb of RAM</t>
  </si>
  <si>
    <t>21KYS8WK02</t>
  </si>
  <si>
    <t>21KYS8WK03</t>
  </si>
  <si>
    <t>21QBS18T00</t>
  </si>
  <si>
    <t>HP EliteBook 840 14 inch G10 Notebook PC hp</t>
  </si>
  <si>
    <t>HP EliteBook 840 G5</t>
  </si>
  <si>
    <t>HP EliteBook 840 G6</t>
  </si>
  <si>
    <t>HP EliteBook 840 G7 Notebook PC</t>
  </si>
  <si>
    <t>Profile 1 Customized, Standard User 14” screen and +16gb of RAM Total</t>
  </si>
  <si>
    <t>12T9S2RT01</t>
  </si>
  <si>
    <t>Profile 1, Standard User 14” screen 16gb of RAM</t>
  </si>
  <si>
    <t>20RA002GLM</t>
  </si>
  <si>
    <t>20VD</t>
  </si>
  <si>
    <t>21NYS2PP02</t>
  </si>
  <si>
    <t>21NYS2Y300</t>
  </si>
  <si>
    <t>21R4S0RY01</t>
  </si>
  <si>
    <t>840 G5</t>
  </si>
  <si>
    <t>840 G8</t>
  </si>
  <si>
    <t>Dell Pro 14 Premium PA14250</t>
  </si>
  <si>
    <t>HP 840 G8</t>
  </si>
  <si>
    <t>HP Compaq Elite 8300 CMT</t>
  </si>
  <si>
    <t>HP EIiteBook 840 G5</t>
  </si>
  <si>
    <t>HP EilteBook 840 G11</t>
  </si>
  <si>
    <t>HP EliteBook</t>
  </si>
  <si>
    <t>HP EliteBook 6 G1i 14 inch Notebook AI PC</t>
  </si>
  <si>
    <t>HP EliteBook 820 G1</t>
  </si>
  <si>
    <t>HP EliteBook 820 G3</t>
  </si>
  <si>
    <t>HP EliteBook 830 G7 Notebook PC</t>
  </si>
  <si>
    <t>HP EliteBook 830 G8 Notebook PC</t>
  </si>
  <si>
    <t>HP EliteBook 840 14 inch G10 Notebook PC 8N279EC#ABM</t>
  </si>
  <si>
    <t>HP EliteBook 840 14 inch G10 Notebook PC 8N410EC</t>
  </si>
  <si>
    <t>HP EliteBook 840 14 inch G10 Notebook PC 8P9H9EC#ABA</t>
  </si>
  <si>
    <t>HP EliteBook 840 14 inch G10 Notebook PC A2N</t>
  </si>
  <si>
    <t>HP EliteBook 840 14 inch G11 Notebook PC ELITEBOOK 840 G11</t>
  </si>
  <si>
    <t>HP EliteBook 840 14 inch G9 Notebook PC ABU</t>
  </si>
  <si>
    <t>HP EliteBook 840 14 inch G9 Notebook PC HP EliteBook 840 G9</t>
  </si>
  <si>
    <t>HP EliteBook 840 G1</t>
  </si>
  <si>
    <t>HP EliteBook 840 G10</t>
  </si>
  <si>
    <t>HP EliteBook 840 G10 Notebook PC</t>
  </si>
  <si>
    <t>HP EliteBook 840 G11</t>
  </si>
  <si>
    <t>HP EliteBook 840 G2</t>
  </si>
  <si>
    <t>HP EliteBook 840 G3</t>
  </si>
  <si>
    <t>HP EliteBook 840 G5 6FR25EC</t>
  </si>
  <si>
    <t>HP Elitebook 840 G5 Notebook</t>
  </si>
  <si>
    <t>HP EliteBook 840 G5 Notebook PC</t>
  </si>
  <si>
    <t>HP EliteBook 840 G6 7UM80EC</t>
  </si>
  <si>
    <t>HP EliteBook 840 G6 7UM80EC#AB2</t>
  </si>
  <si>
    <t>HP EliteBook 840 G6 NOTEBOOK PC</t>
  </si>
  <si>
    <t>HP ELITEBOOK 840 G7</t>
  </si>
  <si>
    <t>HP EliteBook 840 G7 Notebook PC AKL</t>
  </si>
  <si>
    <t>HP EliteBook 840 G7 Notebook PC HP EliteBook 840 G7</t>
  </si>
  <si>
    <t>HP EliteBook 840 G8 Notebook PC 471S6EC#ABA</t>
  </si>
  <si>
    <t>HP EliteBook 840 G8 Notebook PC ABF</t>
  </si>
  <si>
    <t>HP EliteBook 840 G8 Notebook PC EliteBook 840 G8</t>
  </si>
  <si>
    <t>HP EliteBook 840 G8 Notebook PC HP</t>
  </si>
  <si>
    <t>HP EliteBook 840 G8 Notebook PC HP Eltiebook 840 G8</t>
  </si>
  <si>
    <t>HP EliteBook 840 G9 Notebook PC</t>
  </si>
  <si>
    <t>HP EliteBook 855 G7 Notebook PC</t>
  </si>
  <si>
    <t>Profile 1, Standard User 14” screen 16gb of RAM Total</t>
  </si>
  <si>
    <t>Profile 2 Customized, Standard User 16” screen and +16gb of RAM</t>
  </si>
  <si>
    <t>HP EliteBook 850 G5</t>
  </si>
  <si>
    <t>HP EliteBook 850 G6</t>
  </si>
  <si>
    <t>HP EliteBook 860 16 inch G10 Notebook PC</t>
  </si>
  <si>
    <t>Profile 2 Customized, Standard User 16” screen and +16gb of RAM Total</t>
  </si>
  <si>
    <t>Dell Pro 16 PC16255</t>
  </si>
  <si>
    <t>Profile 2, Standard User 16” screen</t>
  </si>
  <si>
    <t>HP EliteBook 6 G1a 16 inch Notebook AI PC</t>
  </si>
  <si>
    <t>HP EliteBook 6 G1i 16 inch Notebook AI PC</t>
  </si>
  <si>
    <t>HP EliteBook 850 G10</t>
  </si>
  <si>
    <t>HP ProBook 450 G8 Notebook PC</t>
  </si>
  <si>
    <t>Profile 2, Standard User 16” screen Total</t>
  </si>
  <si>
    <t>HP Dragonfly 13.5 inch G4 Notebook PC</t>
  </si>
  <si>
    <t>Profile 3, User with great performance needs, lightweight device (i.e. VIP user)</t>
  </si>
  <si>
    <t>HP Dragonfly Folio 13.5 inch G3 2-in-1 Notebook PC</t>
  </si>
  <si>
    <t>HP Elite Dragonfly 13.5 inch G3 Notebook PC</t>
  </si>
  <si>
    <t>HP Elite Dragonfly G2 Notebook PC 472G0EC</t>
  </si>
  <si>
    <t>HP Elite Dragonfly G3</t>
  </si>
  <si>
    <t>HP Elite x360 1040 14 inch G10 2-in-1 Notebook PC</t>
  </si>
  <si>
    <t>HP Elite x360 1040 14 inch G11 2-in-1 Notebook PC</t>
  </si>
  <si>
    <t>HP Elite x360 1040 14 inch G9 2-in-1 Notebook PC</t>
  </si>
  <si>
    <t>HP ELITE x360 1040 G10 2-in-1</t>
  </si>
  <si>
    <t>HP EliteBook Folio 1040 G3</t>
  </si>
  <si>
    <t>HP EliteBook x360 1040 G8</t>
  </si>
  <si>
    <t>Profile 3, User with great performance needs, lightweight device (i.e. VIP user) Total</t>
  </si>
  <si>
    <t>HP ZBook Firefly 14 G8</t>
  </si>
  <si>
    <t>Profile 4, User with max performance needs (i.e. developer, architect, engineer)</t>
  </si>
  <si>
    <t>HP ZBook 14u G6</t>
  </si>
  <si>
    <t>HP ZBook 15 G3</t>
  </si>
  <si>
    <t>HP ZBook 15 G4</t>
  </si>
  <si>
    <t>HP ZBook 15 G5</t>
  </si>
  <si>
    <t>HP ZBook 15 G6</t>
  </si>
  <si>
    <t>HP ZBook 17 G4</t>
  </si>
  <si>
    <t>HP ZBook 17 G6</t>
  </si>
  <si>
    <t>HP ZBook 8 G1i 16 inch Mobile Workstation PC</t>
  </si>
  <si>
    <t>HP ZBook Create G7 Notebook PC</t>
  </si>
  <si>
    <t>HP ZBook Firefly 14 G7 Mobile Workstation</t>
  </si>
  <si>
    <t>HP ZBook Firefly 14 G8 Mobile Workstation 275w2av</t>
  </si>
  <si>
    <t>HP ZBook Firefly 14 G8 Mobile Workstation g8</t>
  </si>
  <si>
    <t>HP ZBook Firefly 14 G8 Mobile Workstation ZBOOK</t>
  </si>
  <si>
    <t>HP ZBook Firefly 14 G8 Mobile Workstation ZBOOK 14 G8</t>
  </si>
  <si>
    <t>HP ZBook Firefly 14 G8 WorkStation PC</t>
  </si>
  <si>
    <t>HP ZBook Firefly 14 inch G11 Mobile Workstation PC</t>
  </si>
  <si>
    <t>HP ZBook Firefly 14 inch G8 Mobile Workstation PC</t>
  </si>
  <si>
    <t>HP ZBook Firefly 14 inch G8 Mobile Workstation PC 275W2AV</t>
  </si>
  <si>
    <t>HP ZBook Firefly 14 inch G9 Mobile Workstation PC</t>
  </si>
  <si>
    <t>HP ZBook Firefly 15 G8 Mobile Workstation</t>
  </si>
  <si>
    <t>HP ZBook Firefly 15 G8 Mobile Workstation 1g3u2av</t>
  </si>
  <si>
    <t>HP ZBook Firefly 15 G8 Mobile Workstation zbook</t>
  </si>
  <si>
    <t>HP ZBook Firefly 15 inch G8 Mobile Workstation PC</t>
  </si>
  <si>
    <t>HP ZBook Firefly 15.6 inch G8</t>
  </si>
  <si>
    <t>HP ZBook Firefly 15.6 inch G8 AKL</t>
  </si>
  <si>
    <t>HP ZBook Firefly 15.6 inch G8 Mobile Workstation PC</t>
  </si>
  <si>
    <t>HP ZBook Firefly 15.6 inch G8 Mobile Workstation PC AKL</t>
  </si>
  <si>
    <t>HP ZBook Firefly 16 inch G10 Mobile Workstation PC</t>
  </si>
  <si>
    <t>HP ZBook Firefly 16 inch G11</t>
  </si>
  <si>
    <t>HP ZBook Firefly 16 inch G11 Mobile Workstation PC IDS Base</t>
  </si>
  <si>
    <t>HP ZBook Firefly 16 inch G9 Mobile Workstation PC</t>
  </si>
  <si>
    <t>HP ZBook Firefly G11</t>
  </si>
  <si>
    <t>HP ZBook Fury 15 G8 Mobile Workstation</t>
  </si>
  <si>
    <t>HP ZBook Fury 15.6 inch G8</t>
  </si>
  <si>
    <t>HP ZBook Fury 16 G10 Mobile Workstation PC ABF</t>
  </si>
  <si>
    <t>HP ZBook Fury 16 G9</t>
  </si>
  <si>
    <t>HP ZBook Fury 16 inch G11 Mobile Workstation PC</t>
  </si>
  <si>
    <t>HP ZBook Fury 17 G8 Mobile Workstation</t>
  </si>
  <si>
    <t>HP ZBook Fury 17.3 inch G8 Mobile Workstation PC</t>
  </si>
  <si>
    <t>HP ZBook Fury G1i 16 inch Mobile Workstation PC</t>
  </si>
  <si>
    <t>HP ZBook Fury G1i 18 inch Mobile Workstation PC</t>
  </si>
  <si>
    <t>HP ZBook Power 15.6 inch G8 Mobile Workstation PC</t>
  </si>
  <si>
    <t>HP ZBook Power 16 inch G11 A Mobile Workstation PC</t>
  </si>
  <si>
    <t>HP ZBook Power 16 inch G11 Mobile Workstation PC</t>
  </si>
  <si>
    <t>HP ZBook Studio 15.6 inch G8 Mobile Workstation PC</t>
  </si>
  <si>
    <t>HP ZBook Studio 16 inch G10 Mobile Workstation PC</t>
  </si>
  <si>
    <t>HP ZBook Studio G3</t>
  </si>
  <si>
    <t>HP ZBook Studio G5</t>
  </si>
  <si>
    <t>HP ZBook Studio G7 Mobile Workstation</t>
  </si>
  <si>
    <t>Z book</t>
  </si>
  <si>
    <t>Profile 4, User with max performance needs (i.e. developer, architect, engineer) Total</t>
  </si>
  <si>
    <t>HP EIite x2 G4</t>
  </si>
  <si>
    <t>Profile 5, 2-in-1 User : Tablet with a detachable keyboard and touchscreen needs</t>
  </si>
  <si>
    <t>HP Ekite x2 G8 Tablet</t>
  </si>
  <si>
    <t>HP Elite x2 1012 G1</t>
  </si>
  <si>
    <t>HP Elite x2 1013 G3</t>
  </si>
  <si>
    <t>HP Elite x2 G4 Tablet</t>
  </si>
  <si>
    <t>HP Elite x2 G4 Tablet with Keyboard</t>
  </si>
  <si>
    <t>Surface Pro 10 for Business</t>
  </si>
  <si>
    <t>Surface Pro for Business 11th Edition with Intel</t>
  </si>
  <si>
    <t>Profile 5, 2-in-1 User : Tablet with a detachable keyboard and touchscreen needs Total</t>
  </si>
  <si>
    <t>Profile 6, 2-in-1 User : Convertible without a detachable keyboard and touchscreen needs</t>
  </si>
  <si>
    <t>HP Elite x360 830 13 inch G9 2-in-1 Notebook PC</t>
  </si>
  <si>
    <t>HP EliteBook 8 Flip G1i 13 inch Notebook AI PC</t>
  </si>
  <si>
    <t>HP EliteBook X Flip G1i 14 inch Notebook Next Gen AI PC</t>
  </si>
  <si>
    <t>HP EliteBook x360 1030 G2</t>
  </si>
  <si>
    <t>HP EliteBook x360 1030 G3</t>
  </si>
  <si>
    <t>HP EliteBook x360 1030 G7 Notebook PC</t>
  </si>
  <si>
    <t>HP EliteBook x360 1030 G8 Notebook PC</t>
  </si>
  <si>
    <t>HP EliteBook x360 830 G6</t>
  </si>
  <si>
    <t>HP EliteBook x360 830 G6 AKL</t>
  </si>
  <si>
    <t>HP EliteBook x360 830 G7</t>
  </si>
  <si>
    <t>HP EliteBook x360 830 G7 Notebook PC</t>
  </si>
  <si>
    <t>HP EliteBook x360 830 G7 Notebook PC HP</t>
  </si>
  <si>
    <t>HP EliteBook x360 830 G7 Notebook PC HP X360 830 G7 PC</t>
  </si>
  <si>
    <t>HP EliteBook x360 830 G8 Notebook PC 49B18EC</t>
  </si>
  <si>
    <t>HP EliteBook x360 830 G8 Notebook PC AKL</t>
  </si>
  <si>
    <t>Profile 6, 2-in-1 User : Convertible without a detachable keyboard and touchscreen needs Total</t>
  </si>
  <si>
    <t>Elite Desk 800 G6 DM i7 10700</t>
  </si>
  <si>
    <t>Profile 7, Standard Desktop User</t>
  </si>
  <si>
    <t>Elitedesk 800 G3 SFF</t>
  </si>
  <si>
    <t>fitlet2</t>
  </si>
  <si>
    <t>HP Elite Mini 600 G9 Desktop PC</t>
  </si>
  <si>
    <t>HP Elite SFF 800 G9 Desktop PC</t>
  </si>
  <si>
    <t>HP EliteDesk 800 65W G2 Desktop Mini PC</t>
  </si>
  <si>
    <t>HP EliteDesk 800 G1 TWR</t>
  </si>
  <si>
    <t>HP EliteDesk 800 G1 USDT</t>
  </si>
  <si>
    <t>HP EliteDesk 800 G2 DM 65W</t>
  </si>
  <si>
    <t>HP EliteDesk 800 G2 SFF</t>
  </si>
  <si>
    <t>HP EliteDesk 800 G2 TWR</t>
  </si>
  <si>
    <t>HP EliteDesk 800 G3 DM 35W</t>
  </si>
  <si>
    <t>HP EliteDesk 800 G3 DM 65W</t>
  </si>
  <si>
    <t>HP EliteDesk 800 G3 DM 65W (Brazil)</t>
  </si>
  <si>
    <t>HP EliteDesk 800 G3 SFF</t>
  </si>
  <si>
    <t>HP EliteDesk 800 G3 TWR</t>
  </si>
  <si>
    <t>HP EliteDesk 800 G4 DM 65W (TAA)</t>
  </si>
  <si>
    <t>HP EliteDesk 800 G4 SFF</t>
  </si>
  <si>
    <t>HP EliteDesk 800 G4 TWR</t>
  </si>
  <si>
    <t>HP EliteDesk 800 G4 WKS TWR</t>
  </si>
  <si>
    <t>HP EliteDesk 800 G5 DM</t>
  </si>
  <si>
    <t>HP ELITEDESK 800 G5 MINI PC</t>
  </si>
  <si>
    <t>HP EliteDesk 800 G5 SFF</t>
  </si>
  <si>
    <t>HP EliteDesk 800 G6 Desktop Mini</t>
  </si>
  <si>
    <t>HP EliteDesk 800 G6 DM</t>
  </si>
  <si>
    <t>HP EliteDesk 800 G6 Small Form Factor PC</t>
  </si>
  <si>
    <t>HP EliteDesk 800 USDT</t>
  </si>
  <si>
    <t>HP EliteDesk 800G5 DM i59500 16GB/256 PC</t>
  </si>
  <si>
    <t>HP EliteOne 1000 G2 23.8-in Touch AiO</t>
  </si>
  <si>
    <t>HP Engage One Pro 23.8 G2 AiO System</t>
  </si>
  <si>
    <t>HPEliteDesk 800G6 DM</t>
  </si>
  <si>
    <t>IPC3</t>
  </si>
  <si>
    <t>Mini PC HO EliteDesk 800 65W G4</t>
  </si>
  <si>
    <t>NUC10i7FNH</t>
  </si>
  <si>
    <t>NUCE</t>
  </si>
  <si>
    <t>OptiPlex 7040</t>
  </si>
  <si>
    <t>OptiPlex 9020</t>
  </si>
  <si>
    <t>SIMATIC IPC427E</t>
  </si>
  <si>
    <t>Profile 7, Standard Desktop User Total</t>
  </si>
  <si>
    <t>HP Z2 Mini G3 Workstation</t>
  </si>
  <si>
    <t>Profile 8, Workstation CAD User</t>
  </si>
  <si>
    <t>HP Z2 Mini G9 Workstation Desktop PC</t>
  </si>
  <si>
    <t>HP Z2 SFF G9 Workstation Desktop PC</t>
  </si>
  <si>
    <t>HP Z2 Tower G4 Workstation</t>
  </si>
  <si>
    <t>HP Z230 SFF Workstation</t>
  </si>
  <si>
    <t>HP Z420 Workstation</t>
  </si>
  <si>
    <t>HP Z440 Workstation</t>
  </si>
  <si>
    <t>HP Z6 G4 Workstation</t>
  </si>
  <si>
    <t>HP Z6 G5 A Workstation Desktop PC</t>
  </si>
  <si>
    <t>HP Z6 G5 Workstation Desktop PC</t>
  </si>
  <si>
    <t>HP Z600 Workstation</t>
  </si>
  <si>
    <t>HP Z8 G4 Workstation</t>
  </si>
  <si>
    <t>HP Z820 Workstation</t>
  </si>
  <si>
    <t>HP Z840 Workstation</t>
  </si>
  <si>
    <t>HP ZCentral 4R Workstation</t>
  </si>
  <si>
    <t>HP Zcentral 4R WS</t>
  </si>
  <si>
    <t>Profile 8, Workstation CAD User Total</t>
  </si>
  <si>
    <t>A140G2</t>
  </si>
  <si>
    <t>Profile 9, Tablet Standard User (All Tablets including rugged)</t>
  </si>
  <si>
    <t>F110G5</t>
  </si>
  <si>
    <t>Latitude 7030 Rugged Extreme Tablet</t>
  </si>
  <si>
    <t>Latitude 7212 Rugged Extreme Tablet</t>
  </si>
  <si>
    <t>Latitude 7220 Rugged Extreme Tablet</t>
  </si>
  <si>
    <t>Latitude 7230 Rugged Extreme Tablet</t>
  </si>
  <si>
    <t>R11I</t>
  </si>
  <si>
    <t>RX10</t>
  </si>
  <si>
    <t>UX10G2</t>
  </si>
  <si>
    <t>UX10G3</t>
  </si>
  <si>
    <t>Profile 9, Tablet Standard User (All Tablets including rugged) Total</t>
  </si>
  <si>
    <t>Original file: https://drive.google.com/file/d/16ioOSHzJyJsb51nWzuKOZfGUjor8L6vu/view</t>
  </si>
  <si>
    <t>Confidential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</si>
</sst>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i/>
      <sz val="11"/>
      <color theme="1"/>
      <name val="Aptos Narrow"/>
    </font>
    <font>
      <b/>
      <sz val="11"/>
      <color theme="1"/>
      <name val="Aptos Narrow"/>
    </font>
    <font>
      <b/>
      <sz val="11"/>
      <color theme="0"/>
      <name val="Aptos Narrow"/>
    </font>
    <font>
      <i/>
      <u/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1"/>
      <color theme="10"/>
      <name val="Aptos Narrow"/>
    </font>
    <font>
      <sz val="11"/>
      <color theme="1"/>
      <name val="Arial"/>
    </font>
    <font>
      <sz val="11"/>
      <color rgb="FFFF0000"/>
      <name val="Aptos Narrow"/>
    </font>
    <font>
      <sz val="10"/>
      <color theme="1"/>
      <name val="Arial"/>
    </font>
    <font>
      <sz val="11"/>
      <color theme="1"/>
      <name val="Roche Sans"/>
    </font>
    <font>
      <b/>
      <sz val="11"/>
      <color theme="1"/>
      <name val="Roche Sans"/>
    </font>
    <font>
      <b/>
      <sz val="10"/>
      <color theme="1"/>
      <name val="Arial"/>
    </font>
    <font>
      <b/>
      <sz val="7"/>
      <color rgb="FF303030"/>
      <name val="Arial"/>
    </font>
    <font>
      <sz val="7"/>
      <color rgb="FF303030"/>
      <name val="Arial"/>
    </font>
    <font>
      <sz val="11"/>
      <color rgb="FFFFFFFF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rgb="FF8ED873"/>
        <bgColor rgb="FF8ED873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8ED973"/>
        <bgColor rgb="FF8ED973"/>
      </patternFill>
    </fill>
    <fill>
      <patternFill patternType="solid">
        <fgColor rgb="FFFF0000"/>
        <bgColor rgb="FFFF0000"/>
      </patternFill>
    </fill>
    <fill>
      <patternFill patternType="solid">
        <fgColor rgb="FFCDD4D6"/>
        <bgColor rgb="FFCDD4D6"/>
      </patternFill>
    </fill>
    <fill>
      <patternFill patternType="solid">
        <fgColor rgb="FF39535E"/>
        <bgColor rgb="FF39535E"/>
      </patternFill>
    </fill>
    <fill>
      <patternFill patternType="solid">
        <fgColor rgb="FFEFF1F2"/>
        <bgColor rgb="FFEFF1F2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39535E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3" fontId="1" fillId="0" borderId="7" xfId="0" applyNumberFormat="1" applyFont="1" applyBorder="1"/>
    <xf numFmtId="9" fontId="1" fillId="0" borderId="7" xfId="0" applyNumberFormat="1" applyFont="1" applyBorder="1"/>
    <xf numFmtId="10" fontId="1" fillId="0" borderId="7" xfId="0" applyNumberFormat="1" applyFont="1" applyBorder="1"/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9" fontId="1" fillId="0" borderId="10" xfId="0" applyNumberFormat="1" applyFont="1" applyBorder="1"/>
    <xf numFmtId="10" fontId="1" fillId="0" borderId="10" xfId="0" applyNumberFormat="1" applyFont="1" applyBorder="1"/>
    <xf numFmtId="0" fontId="6" fillId="0" borderId="0" xfId="0" applyFont="1"/>
    <xf numFmtId="2" fontId="1" fillId="0" borderId="0" xfId="0" applyNumberFormat="1" applyFont="1"/>
    <xf numFmtId="0" fontId="4" fillId="0" borderId="0" xfId="0" applyFont="1"/>
    <xf numFmtId="0" fontId="7" fillId="0" borderId="0" xfId="0" applyFont="1"/>
    <xf numFmtId="0" fontId="4" fillId="6" borderId="4" xfId="0" applyFont="1" applyFill="1" applyBorder="1"/>
    <xf numFmtId="164" fontId="4" fillId="6" borderId="4" xfId="0" applyNumberFormat="1" applyFont="1" applyFill="1" applyBorder="1"/>
    <xf numFmtId="0" fontId="8" fillId="0" borderId="11" xfId="0" applyFont="1" applyBorder="1" applyAlignment="1">
      <alignment wrapText="1"/>
    </xf>
    <xf numFmtId="0" fontId="4" fillId="4" borderId="4" xfId="0" applyFont="1" applyFill="1" applyBorder="1"/>
    <xf numFmtId="0" fontId="9" fillId="0" borderId="0" xfId="0" applyFont="1"/>
    <xf numFmtId="0" fontId="1" fillId="0" borderId="11" xfId="0" applyFont="1" applyBorder="1" applyAlignment="1">
      <alignment wrapText="1"/>
    </xf>
    <xf numFmtId="1" fontId="1" fillId="6" borderId="4" xfId="0" applyNumberFormat="1" applyFont="1" applyFill="1" applyBorder="1"/>
    <xf numFmtId="164" fontId="1" fillId="6" borderId="4" xfId="0" applyNumberFormat="1" applyFont="1" applyFill="1" applyBorder="1"/>
    <xf numFmtId="0" fontId="10" fillId="0" borderId="11" xfId="0" applyFont="1" applyBorder="1" applyAlignment="1">
      <alignment wrapText="1"/>
    </xf>
    <xf numFmtId="0" fontId="1" fillId="6" borderId="5" xfId="0" applyFont="1" applyFill="1" applyBorder="1"/>
    <xf numFmtId="0" fontId="11" fillId="0" borderId="11" xfId="0" applyFont="1" applyBorder="1" applyAlignment="1">
      <alignment wrapText="1"/>
    </xf>
    <xf numFmtId="0" fontId="1" fillId="6" borderId="8" xfId="0" applyFont="1" applyFill="1" applyBorder="1"/>
    <xf numFmtId="0" fontId="1" fillId="0" borderId="12" xfId="0" applyFont="1" applyBorder="1"/>
    <xf numFmtId="0" fontId="1" fillId="6" borderId="9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7" borderId="4" xfId="0" applyFont="1" applyFill="1" applyBorder="1"/>
    <xf numFmtId="0" fontId="12" fillId="0" borderId="0" xfId="0" applyFont="1"/>
    <xf numFmtId="0" fontId="13" fillId="0" borderId="11" xfId="0" applyFont="1" applyBorder="1" applyAlignment="1">
      <alignment wrapText="1"/>
    </xf>
    <xf numFmtId="164" fontId="1" fillId="0" borderId="0" xfId="0" applyNumberFormat="1" applyFont="1"/>
    <xf numFmtId="0" fontId="1" fillId="0" borderId="0" xfId="0" applyFont="1" applyAlignment="1">
      <alignment wrapText="1"/>
    </xf>
    <xf numFmtId="0" fontId="1" fillId="0" borderId="15" xfId="0" applyFont="1" applyBorder="1"/>
    <xf numFmtId="0" fontId="1" fillId="0" borderId="0" xfId="0" applyFont="1"/>
    <xf numFmtId="0" fontId="13" fillId="0" borderId="0" xfId="0" applyFont="1" applyAlignment="1">
      <alignment wrapText="1"/>
    </xf>
    <xf numFmtId="0" fontId="13" fillId="0" borderId="16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3" fillId="0" borderId="17" xfId="0" applyFont="1" applyBorder="1" applyAlignment="1">
      <alignment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0" xfId="0" applyFont="1" applyBorder="1" applyAlignment="1">
      <alignment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4" fillId="0" borderId="20" xfId="0" applyFont="1" applyBorder="1" applyAlignment="1">
      <alignment horizontal="center" wrapText="1"/>
    </xf>
    <xf numFmtId="0" fontId="14" fillId="11" borderId="4" xfId="0" applyFont="1" applyFill="1" applyBorder="1" applyAlignment="1">
      <alignment horizontal="center" wrapText="1"/>
    </xf>
    <xf numFmtId="0" fontId="14" fillId="12" borderId="4" xfId="0" applyFont="1" applyFill="1" applyBorder="1" applyAlignment="1">
      <alignment horizontal="center" vertical="top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1" borderId="21" xfId="0" applyFont="1" applyFill="1" applyBorder="1" applyAlignment="1">
      <alignment horizontal="center" vertical="top" wrapText="1"/>
    </xf>
    <xf numFmtId="0" fontId="14" fillId="11" borderId="4" xfId="0" applyFont="1" applyFill="1" applyBorder="1" applyAlignment="1">
      <alignment horizontal="center" vertical="top" wrapText="1"/>
    </xf>
    <xf numFmtId="0" fontId="14" fillId="11" borderId="2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4" fillId="0" borderId="20" xfId="0" applyFont="1" applyBorder="1" applyAlignment="1">
      <alignment vertical="top" wrapText="1"/>
    </xf>
    <xf numFmtId="0" fontId="14" fillId="13" borderId="4" xfId="0" applyFont="1" applyFill="1" applyBorder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4" fillId="13" borderId="4" xfId="0" applyFont="1" applyFill="1" applyBorder="1" applyAlignment="1">
      <alignment horizontal="center" wrapText="1"/>
    </xf>
    <xf numFmtId="0" fontId="14" fillId="11" borderId="22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wrapText="1"/>
    </xf>
    <xf numFmtId="0" fontId="14" fillId="0" borderId="16" xfId="0" applyFont="1" applyBorder="1" applyAlignment="1">
      <alignment horizontal="center" wrapText="1"/>
    </xf>
    <xf numFmtId="0" fontId="14" fillId="11" borderId="19" xfId="0" applyFont="1" applyFill="1" applyBorder="1" applyAlignment="1">
      <alignment horizontal="center" vertical="top" wrapText="1"/>
    </xf>
    <xf numFmtId="0" fontId="14" fillId="11" borderId="22" xfId="0" applyFont="1" applyFill="1" applyBorder="1" applyAlignment="1">
      <alignment horizontal="center" wrapText="1"/>
    </xf>
    <xf numFmtId="0" fontId="14" fillId="0" borderId="17" xfId="0" applyFont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17" fillId="11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vertical="center" wrapText="1"/>
    </xf>
    <xf numFmtId="0" fontId="18" fillId="11" borderId="4" xfId="0" applyFont="1" applyFill="1" applyBorder="1" applyAlignment="1">
      <alignment vertical="center" wrapText="1"/>
    </xf>
    <xf numFmtId="9" fontId="13" fillId="0" borderId="11" xfId="0" applyNumberFormat="1" applyFont="1" applyBorder="1" applyAlignment="1">
      <alignment wrapText="1"/>
    </xf>
    <xf numFmtId="0" fontId="1" fillId="14" borderId="1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0" fontId="3" fillId="14" borderId="11" xfId="0" applyFont="1" applyFill="1" applyBorder="1" applyAlignment="1">
      <alignment vertical="center"/>
    </xf>
    <xf numFmtId="0" fontId="3" fillId="14" borderId="23" xfId="0" applyFont="1" applyFill="1" applyBorder="1" applyAlignment="1">
      <alignment wrapText="1"/>
    </xf>
    <xf numFmtId="0" fontId="19" fillId="15" borderId="23" xfId="0" applyFont="1" applyFill="1" applyBorder="1" applyAlignment="1">
      <alignment wrapText="1"/>
    </xf>
    <xf numFmtId="0" fontId="19" fillId="15" borderId="11" xfId="0" applyFont="1" applyFill="1" applyBorder="1" applyAlignment="1">
      <alignment wrapText="1"/>
    </xf>
    <xf numFmtId="0" fontId="19" fillId="15" borderId="11" xfId="0" applyFont="1" applyFill="1" applyBorder="1" applyAlignment="1">
      <alignment vertical="center"/>
    </xf>
    <xf numFmtId="0" fontId="1" fillId="16" borderId="24" xfId="0" applyFont="1" applyFill="1" applyBorder="1" applyAlignment="1">
      <alignment wrapText="1"/>
    </xf>
    <xf numFmtId="0" fontId="1" fillId="11" borderId="11" xfId="0" applyFont="1" applyFill="1" applyBorder="1" applyAlignment="1">
      <alignment wrapText="1"/>
    </xf>
    <xf numFmtId="0" fontId="1" fillId="11" borderId="11" xfId="0" applyFont="1" applyFill="1" applyBorder="1" applyAlignment="1">
      <alignment horizontal="right" wrapText="1"/>
    </xf>
    <xf numFmtId="0" fontId="1" fillId="16" borderId="25" xfId="0" applyFont="1" applyFill="1" applyBorder="1" applyAlignment="1">
      <alignment wrapText="1"/>
    </xf>
    <xf numFmtId="0" fontId="1" fillId="11" borderId="26" xfId="0" applyFont="1" applyFill="1" applyBorder="1" applyAlignment="1">
      <alignment wrapText="1"/>
    </xf>
    <xf numFmtId="0" fontId="1" fillId="11" borderId="26" xfId="0" applyFont="1" applyFill="1" applyBorder="1" applyAlignment="1">
      <alignment horizontal="right" wrapText="1"/>
    </xf>
    <xf numFmtId="0" fontId="1" fillId="14" borderId="11" xfId="0" applyFont="1" applyFill="1" applyBorder="1" applyAlignment="1">
      <alignment horizontal="right" wrapText="1"/>
    </xf>
    <xf numFmtId="0" fontId="1" fillId="14" borderId="11" xfId="0" applyFont="1" applyFill="1" applyBorder="1" applyAlignment="1">
      <alignment vertical="center"/>
    </xf>
    <xf numFmtId="0" fontId="1" fillId="16" borderId="11" xfId="0" applyFont="1" applyFill="1" applyBorder="1" applyAlignment="1">
      <alignment vertical="center"/>
    </xf>
    <xf numFmtId="0" fontId="1" fillId="14" borderId="27" xfId="0" applyFont="1" applyFill="1" applyBorder="1" applyAlignment="1">
      <alignment wrapText="1"/>
    </xf>
    <xf numFmtId="0" fontId="1" fillId="14" borderId="27" xfId="0" applyFont="1" applyFill="1" applyBorder="1" applyAlignment="1">
      <alignment horizontal="right" wrapText="1"/>
    </xf>
    <xf numFmtId="0" fontId="4" fillId="14" borderId="11" xfId="0" applyFont="1" applyFill="1" applyBorder="1" applyAlignment="1">
      <alignment wrapText="1"/>
    </xf>
    <xf numFmtId="0" fontId="4" fillId="14" borderId="1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quotePrefix="1" applyFont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0" fontId="15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20195.www2.hp.com/v2/GetDocument.aspx?docname=c09200752" TargetMode="External"/><Relationship Id="rId2" Type="http://schemas.openxmlformats.org/officeDocument/2006/relationships/hyperlink" Target="https://h20195.www2.hp.com/v2/GetDocument.aspx?docname=c07525061" TargetMode="External"/><Relationship Id="rId1" Type="http://schemas.openxmlformats.org/officeDocument/2006/relationships/hyperlink" Target="https://h20195.www2.hp.com/v2/GetDocument.aspx?docname=c07525061" TargetMode="External"/><Relationship Id="rId6" Type="http://schemas.openxmlformats.org/officeDocument/2006/relationships/hyperlink" Target="https://h20195.www2.hp.com/v2/GetDocument.aspx?docname=c07524564" TargetMode="External"/><Relationship Id="rId5" Type="http://schemas.openxmlformats.org/officeDocument/2006/relationships/hyperlink" Target="https://h20195.www2.hp.com/v2/GetDocument.aspx?docname=c08737934" TargetMode="External"/><Relationship Id="rId4" Type="http://schemas.openxmlformats.org/officeDocument/2006/relationships/hyperlink" Target="https://h20195.www2.hp.com/v2/GetDocument.aspx?docname=c092011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I21" sqref="I21"/>
    </sheetView>
  </sheetViews>
  <sheetFormatPr defaultColWidth="12.6328125" defaultRowHeight="15" customHeight="1" x14ac:dyDescent="0.35"/>
  <cols>
    <col min="1" max="1" width="6.26953125" customWidth="1"/>
    <col min="2" max="2" width="8.6328125" customWidth="1"/>
    <col min="3" max="3" width="9.6328125" customWidth="1"/>
    <col min="4" max="4" width="10" customWidth="1"/>
    <col min="5" max="5" width="10.08984375" customWidth="1"/>
    <col min="6" max="6" width="8.6328125" customWidth="1"/>
    <col min="7" max="7" width="11.90625" customWidth="1"/>
    <col min="8" max="8" width="5" customWidth="1"/>
    <col min="9" max="9" width="14.90625" customWidth="1"/>
    <col min="10" max="10" width="7.453125" customWidth="1"/>
    <col min="11" max="11" width="9.6328125" customWidth="1"/>
    <col min="12" max="12" width="9.453125" customWidth="1"/>
    <col min="13" max="13" width="10.08984375" customWidth="1"/>
    <col min="14" max="15" width="8.6328125" customWidth="1"/>
    <col min="16" max="16" width="8.453125" customWidth="1"/>
    <col min="17" max="17" width="9.90625" customWidth="1"/>
    <col min="18" max="19" width="8.6328125" customWidth="1"/>
    <col min="20" max="20" width="9.453125" customWidth="1"/>
    <col min="21" max="26" width="8.6328125" customWidth="1"/>
  </cols>
  <sheetData>
    <row r="1" spans="1:17" ht="14.25" customHeight="1" x14ac:dyDescent="0.35">
      <c r="F1" s="107" t="s">
        <v>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</row>
    <row r="2" spans="1:17" ht="14.25" customHeight="1" x14ac:dyDescent="0.35">
      <c r="F2" s="108">
        <f>(I14-E14)/E14</f>
        <v>-0.14191329773606912</v>
      </c>
      <c r="G2" s="103"/>
      <c r="H2" s="103"/>
      <c r="I2" s="103"/>
      <c r="J2" s="108">
        <f>(M14-E14)/E14</f>
        <v>0.10174507362550478</v>
      </c>
      <c r="K2" s="103"/>
      <c r="L2" s="103"/>
      <c r="M2" s="104"/>
      <c r="N2" s="109">
        <f>(Q14-E14)/E14</f>
        <v>-0.41352348007262141</v>
      </c>
      <c r="O2" s="103"/>
      <c r="P2" s="103"/>
      <c r="Q2" s="104"/>
    </row>
    <row r="3" spans="1:17" ht="14.25" customHeight="1" x14ac:dyDescent="0.35">
      <c r="A3" s="1"/>
      <c r="B3" s="102" t="s">
        <v>1</v>
      </c>
      <c r="C3" s="103"/>
      <c r="D3" s="103"/>
      <c r="E3" s="104"/>
      <c r="F3" s="102" t="s">
        <v>2</v>
      </c>
      <c r="G3" s="103"/>
      <c r="H3" s="103"/>
      <c r="I3" s="104"/>
      <c r="J3" s="102" t="s">
        <v>3</v>
      </c>
      <c r="K3" s="103"/>
      <c r="L3" s="103"/>
      <c r="M3" s="104"/>
      <c r="N3" s="102" t="s">
        <v>4</v>
      </c>
      <c r="O3" s="103"/>
      <c r="P3" s="103"/>
      <c r="Q3" s="104"/>
    </row>
    <row r="4" spans="1:17" ht="14.25" customHeight="1" x14ac:dyDescent="0.35">
      <c r="A4" s="2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4" t="s">
        <v>6</v>
      </c>
      <c r="G4" s="4" t="s">
        <v>7</v>
      </c>
      <c r="H4" s="5" t="s">
        <v>10</v>
      </c>
      <c r="I4" s="5" t="s">
        <v>9</v>
      </c>
      <c r="J4" s="4" t="s">
        <v>6</v>
      </c>
      <c r="K4" s="4" t="s">
        <v>7</v>
      </c>
      <c r="L4" s="5" t="s">
        <v>10</v>
      </c>
      <c r="M4" s="5" t="s">
        <v>9</v>
      </c>
      <c r="N4" s="4" t="s">
        <v>6</v>
      </c>
      <c r="O4" s="4" t="s">
        <v>7</v>
      </c>
      <c r="P4" s="5" t="s">
        <v>10</v>
      </c>
      <c r="Q4" s="5" t="s">
        <v>9</v>
      </c>
    </row>
    <row r="5" spans="1:17" ht="14.25" customHeight="1" x14ac:dyDescent="0.35">
      <c r="A5" s="6">
        <v>1</v>
      </c>
      <c r="B5" s="7">
        <f>'HP Current Models consolidated'!N2</f>
        <v>179</v>
      </c>
      <c r="C5" s="8">
        <f>'HP Current Models consolidated'!O2</f>
        <v>16.899999999999999</v>
      </c>
      <c r="D5" s="8">
        <v>83728</v>
      </c>
      <c r="E5" s="9">
        <f t="shared" ref="E5:E13" si="0">B5*D5</f>
        <v>14987312</v>
      </c>
      <c r="F5" s="8">
        <f>'New HP Devices'!I2</f>
        <v>159</v>
      </c>
      <c r="G5" s="8">
        <f>'New HP Devices'!J2</f>
        <v>18.200000000000003</v>
      </c>
      <c r="H5" s="10">
        <f t="shared" ref="H5:H12" si="1">(F5-B5)/B5</f>
        <v>-0.11173184357541899</v>
      </c>
      <c r="I5" s="9">
        <f t="shared" ref="I5:I13" si="2">D5*F5</f>
        <v>13312752</v>
      </c>
      <c r="J5" s="8">
        <f>'New Lenovo Devices'!J2</f>
        <v>178.5</v>
      </c>
      <c r="K5" s="8">
        <f>'New Lenovo Devices'!K2</f>
        <v>14.54</v>
      </c>
      <c r="L5" s="11">
        <f t="shared" ref="L5:L12" si="3">(J5-B5)/B5</f>
        <v>-2.7932960893854749E-3</v>
      </c>
      <c r="M5" s="9">
        <f t="shared" ref="M5:M13" si="4">D5*J5</f>
        <v>14945448</v>
      </c>
      <c r="N5" s="8">
        <f>'New Dell devices'!K2</f>
        <v>107</v>
      </c>
      <c r="O5" s="8">
        <f>'New Dell devices'!L2</f>
        <v>20</v>
      </c>
      <c r="P5" s="11">
        <f t="shared" ref="P5:P12" si="5">(N5-B5)/B5</f>
        <v>-0.4022346368715084</v>
      </c>
      <c r="Q5" s="9">
        <f t="shared" ref="Q5:Q13" si="6">D5*N5</f>
        <v>8958896</v>
      </c>
    </row>
    <row r="6" spans="1:17" ht="14.25" customHeight="1" x14ac:dyDescent="0.35">
      <c r="A6" s="12">
        <v>2</v>
      </c>
      <c r="B6" s="7">
        <f>'HP Current Models consolidated'!N3</f>
        <v>191</v>
      </c>
      <c r="C6" s="8">
        <f>'HP Current Models consolidated'!O3</f>
        <v>19.899999999999999</v>
      </c>
      <c r="D6" s="8">
        <v>12571</v>
      </c>
      <c r="E6" s="9">
        <f t="shared" si="0"/>
        <v>2401061</v>
      </c>
      <c r="F6" s="8">
        <f>'New HP Devices'!I3</f>
        <v>156.5</v>
      </c>
      <c r="G6" s="8">
        <f>'New HP Devices'!J3</f>
        <v>18.700000000000003</v>
      </c>
      <c r="H6" s="10">
        <f t="shared" si="1"/>
        <v>-0.1806282722513089</v>
      </c>
      <c r="I6" s="9">
        <f t="shared" si="2"/>
        <v>1967361.5</v>
      </c>
      <c r="J6" s="8">
        <f>'New Lenovo Devices'!J3</f>
        <v>192.5</v>
      </c>
      <c r="K6" s="8">
        <f>'New Lenovo Devices'!K3</f>
        <v>14.46</v>
      </c>
      <c r="L6" s="11">
        <f t="shared" si="3"/>
        <v>7.8534031413612562E-3</v>
      </c>
      <c r="M6" s="9">
        <f t="shared" si="4"/>
        <v>2419917.5</v>
      </c>
      <c r="N6" s="8">
        <f>'New Dell devices'!K3</f>
        <v>118</v>
      </c>
      <c r="O6" s="8">
        <f>'New Dell devices'!L3</f>
        <v>21.5</v>
      </c>
      <c r="P6" s="11">
        <f t="shared" si="5"/>
        <v>-0.38219895287958117</v>
      </c>
      <c r="Q6" s="9">
        <f t="shared" si="6"/>
        <v>1483378</v>
      </c>
    </row>
    <row r="7" spans="1:17" ht="14.25" customHeight="1" x14ac:dyDescent="0.35">
      <c r="A7" s="12">
        <v>3</v>
      </c>
      <c r="B7" s="7">
        <f>'HP Current Models consolidated'!N4</f>
        <v>165</v>
      </c>
      <c r="C7" s="8">
        <f>'HP Current Models consolidated'!O4</f>
        <v>14.7</v>
      </c>
      <c r="D7" s="8">
        <v>1536</v>
      </c>
      <c r="E7" s="9">
        <f t="shared" si="0"/>
        <v>253440</v>
      </c>
      <c r="F7" s="8">
        <f>'New HP Devices'!I4</f>
        <v>184</v>
      </c>
      <c r="G7" s="8">
        <f>'New HP Devices'!J4</f>
        <v>20.549999999999997</v>
      </c>
      <c r="H7" s="10">
        <f t="shared" si="1"/>
        <v>0.11515151515151516</v>
      </c>
      <c r="I7" s="9">
        <f t="shared" si="2"/>
        <v>282624</v>
      </c>
      <c r="J7" s="8">
        <f>'New Lenovo Devices'!J4</f>
        <v>176.5</v>
      </c>
      <c r="K7" s="8">
        <f>'New Lenovo Devices'!K4</f>
        <v>14.345000000000001</v>
      </c>
      <c r="L7" s="11">
        <f t="shared" si="3"/>
        <v>6.9696969696969702E-2</v>
      </c>
      <c r="M7" s="9">
        <f t="shared" si="4"/>
        <v>271104</v>
      </c>
      <c r="N7" s="8">
        <f>'New Dell devices'!K4</f>
        <v>104</v>
      </c>
      <c r="O7" s="8">
        <f>'New Dell devices'!L4</f>
        <v>17.7</v>
      </c>
      <c r="P7" s="11">
        <f t="shared" si="5"/>
        <v>-0.36969696969696969</v>
      </c>
      <c r="Q7" s="9">
        <f t="shared" si="6"/>
        <v>159744</v>
      </c>
    </row>
    <row r="8" spans="1:17" ht="14.25" customHeight="1" x14ac:dyDescent="0.35">
      <c r="A8" s="12">
        <v>4</v>
      </c>
      <c r="B8" s="7">
        <f>'HP Current Models consolidated'!N5</f>
        <v>265</v>
      </c>
      <c r="C8" s="8">
        <f>'HP Current Models consolidated'!O5</f>
        <v>25.3</v>
      </c>
      <c r="D8" s="8">
        <v>3168</v>
      </c>
      <c r="E8" s="9">
        <f t="shared" si="0"/>
        <v>839520</v>
      </c>
      <c r="F8" s="8">
        <f>'New HP Devices'!I5</f>
        <v>245.5</v>
      </c>
      <c r="G8" s="8">
        <f>'New HP Devices'!J5</f>
        <v>22.549999999999997</v>
      </c>
      <c r="H8" s="10">
        <f t="shared" si="1"/>
        <v>-7.3584905660377356E-2</v>
      </c>
      <c r="I8" s="9">
        <f t="shared" si="2"/>
        <v>777744</v>
      </c>
      <c r="J8" s="8">
        <f>'New Lenovo Devices'!J5</f>
        <v>260.5</v>
      </c>
      <c r="K8" s="8">
        <f>'New Lenovo Devices'!K5</f>
        <v>21.75</v>
      </c>
      <c r="L8" s="11">
        <f t="shared" si="3"/>
        <v>-1.6981132075471698E-2</v>
      </c>
      <c r="M8" s="9">
        <f t="shared" si="4"/>
        <v>825264</v>
      </c>
      <c r="N8" s="8">
        <f>'New Dell devices'!K5</f>
        <v>118</v>
      </c>
      <c r="O8" s="8">
        <f>'New Dell devices'!L5</f>
        <v>19.3</v>
      </c>
      <c r="P8" s="11">
        <f t="shared" si="5"/>
        <v>-0.55471698113207546</v>
      </c>
      <c r="Q8" s="9">
        <f t="shared" si="6"/>
        <v>373824</v>
      </c>
    </row>
    <row r="9" spans="1:17" ht="14.25" customHeight="1" x14ac:dyDescent="0.35">
      <c r="A9" s="12">
        <v>5</v>
      </c>
      <c r="B9" s="7">
        <f>'HP Current Models consolidated'!N6</f>
        <v>122</v>
      </c>
      <c r="C9" s="8">
        <f>'HP Current Models consolidated'!O6</f>
        <v>47.2</v>
      </c>
      <c r="D9" s="8">
        <v>1715</v>
      </c>
      <c r="E9" s="9">
        <f t="shared" si="0"/>
        <v>209230</v>
      </c>
      <c r="F9" s="8">
        <f>'New HP Devices'!I6</f>
        <v>188</v>
      </c>
      <c r="G9" s="8">
        <f>'New HP Devices'!J6</f>
        <v>14.6</v>
      </c>
      <c r="H9" s="10">
        <f t="shared" si="1"/>
        <v>0.54098360655737709</v>
      </c>
      <c r="I9" s="9">
        <f t="shared" si="2"/>
        <v>322420</v>
      </c>
      <c r="J9" s="8">
        <f>'New Lenovo Devices'!J6</f>
        <v>79</v>
      </c>
      <c r="K9" s="8">
        <f>'New Lenovo Devices'!K6</f>
        <v>15.4</v>
      </c>
      <c r="L9" s="11">
        <f t="shared" si="3"/>
        <v>-0.35245901639344263</v>
      </c>
      <c r="M9" s="9">
        <f t="shared" si="4"/>
        <v>135485</v>
      </c>
      <c r="N9" s="8">
        <f>'New Dell devices'!K6</f>
        <v>110</v>
      </c>
      <c r="O9" s="8">
        <f>'New Dell devices'!L6</f>
        <v>17.8</v>
      </c>
      <c r="P9" s="11">
        <f t="shared" si="5"/>
        <v>-9.8360655737704916E-2</v>
      </c>
      <c r="Q9" s="9">
        <f t="shared" si="6"/>
        <v>188650</v>
      </c>
    </row>
    <row r="10" spans="1:17" ht="14.25" customHeight="1" x14ac:dyDescent="0.35">
      <c r="A10" s="12">
        <v>6</v>
      </c>
      <c r="B10" s="7">
        <f>'HP Current Models consolidated'!N7</f>
        <v>183</v>
      </c>
      <c r="C10" s="8">
        <f>'HP Current Models consolidated'!O7</f>
        <v>41.5</v>
      </c>
      <c r="D10" s="8">
        <v>4255</v>
      </c>
      <c r="E10" s="9">
        <f t="shared" si="0"/>
        <v>778665</v>
      </c>
      <c r="F10" s="8">
        <f>'New HP Devices'!I7</f>
        <v>102</v>
      </c>
      <c r="G10" s="8">
        <f>'New HP Devices'!J7</f>
        <v>11</v>
      </c>
      <c r="H10" s="10">
        <f t="shared" si="1"/>
        <v>-0.44262295081967212</v>
      </c>
      <c r="I10" s="9">
        <f t="shared" si="2"/>
        <v>434010</v>
      </c>
      <c r="J10" s="8">
        <f>'New Lenovo Devices'!J7</f>
        <v>241</v>
      </c>
      <c r="K10" s="8">
        <f>'New Lenovo Devices'!K7</f>
        <v>15.65</v>
      </c>
      <c r="L10" s="11">
        <f t="shared" si="3"/>
        <v>0.31693989071038253</v>
      </c>
      <c r="M10" s="9">
        <f t="shared" si="4"/>
        <v>1025455</v>
      </c>
      <c r="N10" s="8">
        <f>'New Dell devices'!K7</f>
        <v>107</v>
      </c>
      <c r="O10" s="8">
        <f>'New Dell devices'!L7</f>
        <v>18.5</v>
      </c>
      <c r="P10" s="11">
        <f t="shared" si="5"/>
        <v>-0.41530054644808745</v>
      </c>
      <c r="Q10" s="9">
        <f t="shared" si="6"/>
        <v>455285</v>
      </c>
    </row>
    <row r="11" spans="1:17" ht="14.25" customHeight="1" x14ac:dyDescent="0.35">
      <c r="A11" s="12">
        <v>7</v>
      </c>
      <c r="B11" s="7">
        <f>'HP Current Models consolidated'!N8</f>
        <v>250</v>
      </c>
      <c r="C11" s="8">
        <f>'HP Current Models consolidated'!O8</f>
        <v>41</v>
      </c>
      <c r="D11" s="8">
        <v>10412</v>
      </c>
      <c r="E11" s="9">
        <f t="shared" si="0"/>
        <v>2603000</v>
      </c>
      <c r="F11" s="8">
        <f>'New HP Devices'!I8</f>
        <v>163.33333333333334</v>
      </c>
      <c r="G11" s="8">
        <f>'New HP Devices'!J8</f>
        <v>55.133333333333333</v>
      </c>
      <c r="H11" s="10">
        <f t="shared" si="1"/>
        <v>-0.34666666666666662</v>
      </c>
      <c r="I11" s="9">
        <f t="shared" si="2"/>
        <v>1700626.6666666667</v>
      </c>
      <c r="J11" s="8">
        <f>'New Lenovo Devices'!J8</f>
        <v>382</v>
      </c>
      <c r="K11" s="8">
        <f>'New Lenovo Devices'!K8</f>
        <v>47.994999999999997</v>
      </c>
      <c r="L11" s="11">
        <f t="shared" si="3"/>
        <v>0.52800000000000002</v>
      </c>
      <c r="M11" s="9">
        <f t="shared" si="4"/>
        <v>3977384</v>
      </c>
      <c r="N11" s="8">
        <f>'New Dell devices'!K8</f>
        <v>120.3</v>
      </c>
      <c r="O11" s="8">
        <f>'New Dell devices'!L8</f>
        <v>34.85</v>
      </c>
      <c r="P11" s="11">
        <f t="shared" si="5"/>
        <v>-0.51879999999999993</v>
      </c>
      <c r="Q11" s="9">
        <f t="shared" si="6"/>
        <v>1252563.5999999999</v>
      </c>
    </row>
    <row r="12" spans="1:17" ht="14.25" customHeight="1" x14ac:dyDescent="0.35">
      <c r="A12" s="12">
        <v>8</v>
      </c>
      <c r="B12" s="7">
        <f>'HP Current Models consolidated'!N9</f>
        <v>487</v>
      </c>
      <c r="C12" s="8">
        <f>'HP Current Models consolidated'!O9</f>
        <v>203</v>
      </c>
      <c r="D12" s="8">
        <v>422</v>
      </c>
      <c r="E12" s="9">
        <f t="shared" si="0"/>
        <v>205514</v>
      </c>
      <c r="F12" s="8">
        <f>'New HP Devices'!I9</f>
        <v>693</v>
      </c>
      <c r="G12" s="8">
        <f>'New HP Devices'!J9</f>
        <v>309.3</v>
      </c>
      <c r="H12" s="10">
        <f t="shared" si="1"/>
        <v>0.42299794661190965</v>
      </c>
      <c r="I12" s="9">
        <f t="shared" si="2"/>
        <v>292446</v>
      </c>
      <c r="J12" s="8">
        <f>'New Lenovo Devices'!J9</f>
        <v>2205</v>
      </c>
      <c r="K12" s="8">
        <f>'New Lenovo Devices'!K9</f>
        <v>580.88</v>
      </c>
      <c r="L12" s="11">
        <f t="shared" si="3"/>
        <v>3.5277207392197125</v>
      </c>
      <c r="M12" s="9">
        <f t="shared" si="4"/>
        <v>930510</v>
      </c>
      <c r="N12" s="8">
        <f>'New Dell devices'!K9</f>
        <v>406</v>
      </c>
      <c r="O12" s="8">
        <f>'New Dell devices'!L9</f>
        <v>175</v>
      </c>
      <c r="P12" s="11">
        <f t="shared" si="5"/>
        <v>-0.16632443531827515</v>
      </c>
      <c r="Q12" s="9">
        <f t="shared" si="6"/>
        <v>171332</v>
      </c>
    </row>
    <row r="13" spans="1:17" ht="14.25" customHeight="1" x14ac:dyDescent="0.35">
      <c r="A13" s="13">
        <v>9</v>
      </c>
      <c r="B13" s="8">
        <f>'HP Current Models consolidated'!N10</f>
        <v>0</v>
      </c>
      <c r="C13" s="8">
        <f>'HP Current Models consolidated'!O10</f>
        <v>0</v>
      </c>
      <c r="D13" s="8">
        <v>175</v>
      </c>
      <c r="E13" s="9">
        <f t="shared" si="0"/>
        <v>0</v>
      </c>
      <c r="F13" s="8">
        <f>'New HP Devices'!I10</f>
        <v>150</v>
      </c>
      <c r="G13" s="8">
        <f>'New HP Devices'!J10</f>
        <v>14.5</v>
      </c>
      <c r="H13" s="10"/>
      <c r="I13" s="9">
        <f t="shared" si="2"/>
        <v>26250</v>
      </c>
      <c r="J13" s="8">
        <f>'New Lenovo Devices'!J10</f>
        <v>79</v>
      </c>
      <c r="K13" s="8">
        <f>'New Lenovo Devices'!K10</f>
        <v>15.4</v>
      </c>
      <c r="L13" s="8"/>
      <c r="M13" s="9">
        <f t="shared" si="4"/>
        <v>13825</v>
      </c>
      <c r="N13" s="8">
        <f>'New Dell devices'!K10</f>
        <v>124</v>
      </c>
      <c r="O13" s="8">
        <f>'New Dell devices'!L10</f>
        <v>21.2</v>
      </c>
      <c r="P13" s="8"/>
      <c r="Q13" s="9">
        <f t="shared" si="6"/>
        <v>21700</v>
      </c>
    </row>
    <row r="14" spans="1:17" ht="14.25" customHeight="1" x14ac:dyDescent="0.35">
      <c r="E14" s="9">
        <f>SUM(E5:E13)</f>
        <v>22277742</v>
      </c>
      <c r="H14" s="14">
        <f>AVERAGE(H5:H12)</f>
        <v>-9.5126963315802573E-3</v>
      </c>
      <c r="I14" s="9">
        <f>SUM(I5:I13)</f>
        <v>19116234.166666668</v>
      </c>
      <c r="L14" s="15">
        <f>AVERAGE(L5:L12)</f>
        <v>0.50974719477626573</v>
      </c>
      <c r="M14" s="9">
        <f>SUM(M5:M13)</f>
        <v>24544392.5</v>
      </c>
      <c r="P14" s="15">
        <f>AVERAGE(P5:P12)</f>
        <v>-0.36345414726052527</v>
      </c>
      <c r="Q14" s="9">
        <f>SUM(Q5:Q13)</f>
        <v>13065372.6</v>
      </c>
    </row>
    <row r="15" spans="1:17" ht="14.25" customHeight="1" x14ac:dyDescent="0.35"/>
    <row r="16" spans="1:17" ht="14.25" customHeight="1" x14ac:dyDescent="0.35">
      <c r="A16" s="16" t="s">
        <v>11</v>
      </c>
    </row>
    <row r="17" spans="2:20" ht="63.75" customHeight="1" x14ac:dyDescent="0.35">
      <c r="B17" s="105" t="s">
        <v>12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T17" s="17"/>
    </row>
    <row r="18" spans="2:20" ht="14.25" customHeight="1" x14ac:dyDescent="0.35"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T18" s="17"/>
    </row>
    <row r="19" spans="2:20" ht="14.25" customHeight="1" x14ac:dyDescent="0.35"/>
    <row r="20" spans="2:20" ht="14.25" customHeight="1" x14ac:dyDescent="0.35">
      <c r="B20" t="s">
        <v>616</v>
      </c>
    </row>
    <row r="21" spans="2:20" ht="14.25" customHeight="1" x14ac:dyDescent="0.35">
      <c r="B21" t="s">
        <v>617</v>
      </c>
    </row>
    <row r="22" spans="2:20" ht="14.25" customHeight="1" x14ac:dyDescent="0.35"/>
    <row r="23" spans="2:20" ht="14.25" customHeight="1" x14ac:dyDescent="0.35"/>
    <row r="24" spans="2:20" ht="14.25" customHeight="1" x14ac:dyDescent="0.35"/>
    <row r="25" spans="2:20" ht="14.25" customHeight="1" x14ac:dyDescent="0.35"/>
    <row r="26" spans="2:20" ht="14.25" customHeight="1" x14ac:dyDescent="0.35"/>
    <row r="27" spans="2:20" ht="14.25" customHeight="1" x14ac:dyDescent="0.35"/>
    <row r="28" spans="2:20" ht="14.25" customHeight="1" x14ac:dyDescent="0.35"/>
    <row r="29" spans="2:20" ht="14.25" customHeight="1" x14ac:dyDescent="0.35"/>
    <row r="30" spans="2:20" ht="14.25" customHeight="1" x14ac:dyDescent="0.35"/>
    <row r="31" spans="2:20" ht="14.25" customHeight="1" x14ac:dyDescent="0.35"/>
    <row r="32" spans="2:2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9">
    <mergeCell ref="J3:M3"/>
    <mergeCell ref="B17:M18"/>
    <mergeCell ref="F1:Q1"/>
    <mergeCell ref="F2:I2"/>
    <mergeCell ref="J2:M2"/>
    <mergeCell ref="N2:Q2"/>
    <mergeCell ref="B3:E3"/>
    <mergeCell ref="F3:I3"/>
    <mergeCell ref="N3:Q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2.6328125" defaultRowHeight="15" customHeight="1" x14ac:dyDescent="0.35"/>
  <cols>
    <col min="1" max="1" width="8.6328125" customWidth="1"/>
    <col min="2" max="3" width="42.36328125" customWidth="1"/>
    <col min="4" max="4" width="8.26953125" customWidth="1"/>
    <col min="5" max="5" width="8.36328125" customWidth="1"/>
    <col min="6" max="6" width="11.08984375" customWidth="1"/>
    <col min="7" max="7" width="8.7265625" customWidth="1"/>
    <col min="8" max="8" width="19.7265625" customWidth="1"/>
    <col min="9" max="9" width="13.90625" customWidth="1"/>
    <col min="10" max="26" width="8.6328125" customWidth="1"/>
  </cols>
  <sheetData>
    <row r="1" spans="1:15" ht="14.25" customHeight="1" x14ac:dyDescent="0.35">
      <c r="A1" s="18" t="s">
        <v>5</v>
      </c>
      <c r="B1" s="18" t="s">
        <v>13</v>
      </c>
      <c r="C1" s="18" t="s">
        <v>14</v>
      </c>
      <c r="D1" s="19" t="s">
        <v>15</v>
      </c>
      <c r="E1" s="19" t="s">
        <v>16</v>
      </c>
      <c r="F1" s="20" t="s">
        <v>17</v>
      </c>
      <c r="G1" s="21" t="s">
        <v>18</v>
      </c>
      <c r="H1" s="18" t="s">
        <v>19</v>
      </c>
      <c r="I1" s="22" t="s">
        <v>20</v>
      </c>
      <c r="M1" s="23" t="s">
        <v>5</v>
      </c>
      <c r="N1" s="23" t="s">
        <v>6</v>
      </c>
      <c r="O1" s="23" t="s">
        <v>7</v>
      </c>
    </row>
    <row r="2" spans="1:15" ht="14.25" customHeight="1" x14ac:dyDescent="0.35">
      <c r="A2" s="19">
        <v>1</v>
      </c>
      <c r="B2" s="24" t="s">
        <v>21</v>
      </c>
      <c r="C2" s="25" t="s">
        <v>22</v>
      </c>
      <c r="D2" s="19" t="e">
        <f>VLOOKUP(C2,'Full current HP extraction'!A:C,3,FALSE)</f>
        <v>#N/A</v>
      </c>
      <c r="E2" s="19" t="e">
        <f>VLOOKUP(C2,'Full current HP extraction'!A:C,2,FALSE)</f>
        <v>#N/A</v>
      </c>
      <c r="F2" s="26">
        <v>200</v>
      </c>
      <c r="G2" s="27">
        <v>20</v>
      </c>
      <c r="H2" s="19" t="s">
        <v>23</v>
      </c>
      <c r="I2" s="28" t="s">
        <v>24</v>
      </c>
      <c r="M2" s="29">
        <v>1</v>
      </c>
      <c r="N2" s="7">
        <v>179</v>
      </c>
      <c r="O2" s="7">
        <v>16.899999999999999</v>
      </c>
    </row>
    <row r="3" spans="1:15" ht="14.25" customHeight="1" x14ac:dyDescent="0.35">
      <c r="A3" s="19">
        <v>1</v>
      </c>
      <c r="B3" s="19" t="s">
        <v>25</v>
      </c>
      <c r="C3" s="19" t="s">
        <v>25</v>
      </c>
      <c r="D3" s="19">
        <f>VLOOKUP(C3,'Full current HP extraction'!A:C,3,FALSE)</f>
        <v>171</v>
      </c>
      <c r="E3" s="19">
        <f>VLOOKUP(C3,'Full current HP extraction'!A:C,2,FALSE)</f>
        <v>185</v>
      </c>
      <c r="F3" s="26">
        <f>VLOOKUP(C3,'Current HPE enrichment'!A:C,2,FALSE)</f>
        <v>171</v>
      </c>
      <c r="G3" s="27">
        <f>VLOOKUP(C3,'Current HPE enrichment'!A:C,3,FALSE)</f>
        <v>12.8</v>
      </c>
      <c r="I3" s="30" t="s">
        <v>26</v>
      </c>
      <c r="M3" s="31">
        <v>2</v>
      </c>
      <c r="N3" s="19">
        <v>191</v>
      </c>
      <c r="O3" s="32">
        <v>19.899999999999999</v>
      </c>
    </row>
    <row r="4" spans="1:15" ht="14.25" customHeight="1" x14ac:dyDescent="0.35">
      <c r="A4" s="19">
        <v>1</v>
      </c>
      <c r="B4" s="19" t="s">
        <v>27</v>
      </c>
      <c r="C4" s="19" t="s">
        <v>27</v>
      </c>
      <c r="D4" s="19">
        <f>VLOOKUP(C4,'Full current HP extraction'!A:C,3,FALSE)</f>
        <v>176</v>
      </c>
      <c r="E4" s="19">
        <f>VLOOKUP(C4,'Full current HP extraction'!A:C,2,FALSE)</f>
        <v>192</v>
      </c>
      <c r="F4" s="26">
        <f>VLOOKUP(C4,'Current HPE enrichment'!A:C,2,FALSE)</f>
        <v>176</v>
      </c>
      <c r="G4" s="27">
        <f>VLOOKUP(C4,'Current HPE enrichment'!A:C,3,FALSE)</f>
        <v>18</v>
      </c>
      <c r="I4" s="30" t="s">
        <v>26</v>
      </c>
      <c r="M4" s="31">
        <v>3</v>
      </c>
      <c r="N4" s="19">
        <v>165</v>
      </c>
      <c r="O4" s="32">
        <v>14.7</v>
      </c>
    </row>
    <row r="5" spans="1:15" ht="14.25" customHeight="1" x14ac:dyDescent="0.35">
      <c r="A5" s="19">
        <v>1</v>
      </c>
      <c r="B5" s="19" t="s">
        <v>21</v>
      </c>
      <c r="C5" s="25" t="s">
        <v>22</v>
      </c>
      <c r="D5" s="19" t="e">
        <f>VLOOKUP(C5,'Full current HP extraction'!A:C,3,FALSE)</f>
        <v>#N/A</v>
      </c>
      <c r="E5" s="19" t="e">
        <f>VLOOKUP(C5,'Full current HP extraction'!A:C,2,FALSE)</f>
        <v>#N/A</v>
      </c>
      <c r="F5" s="26">
        <v>200</v>
      </c>
      <c r="G5" s="27">
        <v>20</v>
      </c>
      <c r="H5" s="19" t="s">
        <v>28</v>
      </c>
      <c r="I5" s="28" t="s">
        <v>24</v>
      </c>
      <c r="M5" s="31">
        <v>4</v>
      </c>
      <c r="N5" s="19">
        <v>265</v>
      </c>
      <c r="O5" s="32">
        <v>25.3</v>
      </c>
    </row>
    <row r="6" spans="1:15" ht="15" customHeight="1" x14ac:dyDescent="0.35">
      <c r="A6" s="19">
        <v>1</v>
      </c>
      <c r="B6" s="19" t="s">
        <v>25</v>
      </c>
      <c r="C6" s="19" t="s">
        <v>25</v>
      </c>
      <c r="D6" s="19">
        <f>VLOOKUP(C6,'Full current HP extraction'!A:C,3,FALSE)</f>
        <v>171</v>
      </c>
      <c r="E6" s="19">
        <f>VLOOKUP(C6,'Full current HP extraction'!A:C,2,FALSE)</f>
        <v>185</v>
      </c>
      <c r="F6" s="26">
        <f>VLOOKUP(C6,'Current HPE enrichment'!A:C,2,FALSE)</f>
        <v>171</v>
      </c>
      <c r="G6" s="27">
        <f>VLOOKUP(C6,'Current HPE enrichment'!A:C,3,FALSE)</f>
        <v>12.8</v>
      </c>
      <c r="H6" s="19" t="s">
        <v>29</v>
      </c>
      <c r="I6" s="30" t="s">
        <v>30</v>
      </c>
      <c r="M6" s="31">
        <v>5</v>
      </c>
      <c r="N6" s="19">
        <v>122</v>
      </c>
      <c r="O6" s="32">
        <v>47.2</v>
      </c>
    </row>
    <row r="7" spans="1:15" ht="14.25" customHeight="1" x14ac:dyDescent="0.35">
      <c r="A7" s="19">
        <v>1</v>
      </c>
      <c r="B7" s="19" t="s">
        <v>31</v>
      </c>
      <c r="C7" s="25" t="s">
        <v>32</v>
      </c>
      <c r="D7" s="19" t="e">
        <f>VLOOKUP(C7,'Full current HP extraction'!A:C,3,FALSE)</f>
        <v>#N/A</v>
      </c>
      <c r="E7" s="19" t="e">
        <f>VLOOKUP(C7,'Full current HP extraction'!A:C,2,FALSE)</f>
        <v>#N/A</v>
      </c>
      <c r="F7" s="26">
        <v>174</v>
      </c>
      <c r="G7" s="27">
        <v>18</v>
      </c>
      <c r="H7" s="19" t="s">
        <v>23</v>
      </c>
      <c r="I7" s="28" t="s">
        <v>24</v>
      </c>
      <c r="M7" s="31">
        <v>6</v>
      </c>
      <c r="N7" s="19">
        <v>183</v>
      </c>
      <c r="O7" s="32">
        <v>41.5</v>
      </c>
    </row>
    <row r="8" spans="1:15" ht="14.25" customHeight="1" x14ac:dyDescent="0.35">
      <c r="A8" s="19">
        <v>1</v>
      </c>
      <c r="B8" s="24" t="s">
        <v>27</v>
      </c>
      <c r="C8" s="19" t="s">
        <v>27</v>
      </c>
      <c r="D8" s="19">
        <f>VLOOKUP(C8,'Full current HP extraction'!A:C,3,FALSE)</f>
        <v>176</v>
      </c>
      <c r="E8" s="19">
        <f>VLOOKUP(C8,'Full current HP extraction'!A:C,2,FALSE)</f>
        <v>192</v>
      </c>
      <c r="F8" s="26">
        <f>VLOOKUP(C8,'Current HPE enrichment'!A:C,2,FALSE)</f>
        <v>176</v>
      </c>
      <c r="G8" s="27">
        <f>VLOOKUP(C8,'Current HPE enrichment'!A:C,3,FALSE)</f>
        <v>18</v>
      </c>
      <c r="H8" s="19" t="s">
        <v>33</v>
      </c>
      <c r="I8" s="30" t="s">
        <v>34</v>
      </c>
      <c r="M8" s="31">
        <v>7</v>
      </c>
      <c r="N8" s="19">
        <v>250</v>
      </c>
      <c r="O8" s="32">
        <v>41</v>
      </c>
    </row>
    <row r="9" spans="1:15" ht="14.25" customHeight="1" x14ac:dyDescent="0.35">
      <c r="A9" s="19">
        <v>2</v>
      </c>
      <c r="B9" s="19" t="s">
        <v>35</v>
      </c>
      <c r="C9" s="19" t="s">
        <v>36</v>
      </c>
      <c r="D9" s="19" t="str">
        <f>VLOOKUP(C9,'Full current HP extraction'!A:C,3,FALSE)</f>
        <v>Not in source</v>
      </c>
      <c r="E9" s="19">
        <f>VLOOKUP(C9,'Full current HP extraction'!A:C,2,FALSE)</f>
        <v>220</v>
      </c>
      <c r="F9" s="26">
        <v>220</v>
      </c>
      <c r="G9" s="27">
        <f>VLOOKUP(C9,'Current HPE enrichment'!A:C,3,FALSE)</f>
        <v>26.1</v>
      </c>
      <c r="H9" s="19" t="s">
        <v>23</v>
      </c>
      <c r="I9" s="30" t="s">
        <v>26</v>
      </c>
      <c r="M9" s="31">
        <v>8</v>
      </c>
      <c r="N9" s="19">
        <v>487</v>
      </c>
      <c r="O9" s="32">
        <v>203</v>
      </c>
    </row>
    <row r="10" spans="1:15" ht="14.25" customHeight="1" x14ac:dyDescent="0.35">
      <c r="A10" s="19">
        <v>3</v>
      </c>
      <c r="B10" s="19" t="s">
        <v>37</v>
      </c>
      <c r="C10" s="19" t="s">
        <v>38</v>
      </c>
      <c r="D10" s="19">
        <f>VLOOKUP(C10,'Full current HP extraction'!A:C,3,FALSE)</f>
        <v>181</v>
      </c>
      <c r="E10" s="19">
        <f>VLOOKUP(C10,'Full current HP extraction'!A:C,2,FALSE)</f>
        <v>198</v>
      </c>
      <c r="F10" s="26">
        <f>VLOOKUP(C10,'Current HPE enrichment'!A:C,2,FALSE)</f>
        <v>181</v>
      </c>
      <c r="G10" s="27">
        <f>VLOOKUP(C10,'Current HPE enrichment'!A:C,3,FALSE)</f>
        <v>13.4</v>
      </c>
      <c r="H10" s="19" t="s">
        <v>23</v>
      </c>
      <c r="I10" s="30" t="s">
        <v>26</v>
      </c>
      <c r="M10" s="33">
        <v>9</v>
      </c>
      <c r="N10" s="34"/>
      <c r="O10" s="35"/>
    </row>
    <row r="11" spans="1:15" ht="14.25" customHeight="1" x14ac:dyDescent="0.35">
      <c r="A11" s="19">
        <v>3</v>
      </c>
      <c r="B11" s="19" t="s">
        <v>39</v>
      </c>
      <c r="C11" s="19" t="s">
        <v>40</v>
      </c>
      <c r="D11" s="19">
        <f>VLOOKUP(C11,'Full current HP extraction'!A:C,3,FALSE)</f>
        <v>186</v>
      </c>
      <c r="E11" s="19">
        <f>VLOOKUP(C11,'Full current HP extraction'!A:C,2,FALSE)</f>
        <v>204</v>
      </c>
      <c r="F11" s="26">
        <f>VLOOKUP(C11,'Current HPE enrichment'!A:C,2,FALSE)</f>
        <v>186</v>
      </c>
      <c r="G11" s="27">
        <f>VLOOKUP(C11,'Current HPE enrichment'!A:C,3,FALSE)</f>
        <v>15.7</v>
      </c>
      <c r="H11" s="19" t="s">
        <v>23</v>
      </c>
      <c r="I11" s="30" t="s">
        <v>26</v>
      </c>
    </row>
    <row r="12" spans="1:15" ht="14.25" customHeight="1" x14ac:dyDescent="0.35">
      <c r="A12" s="19">
        <v>1</v>
      </c>
      <c r="B12" s="36" t="s">
        <v>41</v>
      </c>
      <c r="C12" s="19" t="s">
        <v>42</v>
      </c>
      <c r="D12" s="19">
        <f>VLOOKUP(C12,'Full current HP extraction'!A:C,3,FALSE)</f>
        <v>142</v>
      </c>
      <c r="E12" s="19">
        <f>VLOOKUP(C12,'Full current HP extraction'!A:C,2,FALSE)</f>
        <v>149</v>
      </c>
      <c r="F12" s="26">
        <v>167</v>
      </c>
      <c r="G12" s="27">
        <v>15.6</v>
      </c>
      <c r="H12" s="19" t="s">
        <v>23</v>
      </c>
      <c r="I12" s="30" t="s">
        <v>26</v>
      </c>
    </row>
    <row r="13" spans="1:15" ht="14.25" customHeight="1" x14ac:dyDescent="0.35">
      <c r="A13" s="19">
        <v>2</v>
      </c>
      <c r="B13" s="19" t="s">
        <v>43</v>
      </c>
      <c r="C13" s="19" t="s">
        <v>42</v>
      </c>
      <c r="D13" s="19">
        <f>VLOOKUP(C13,'Full current HP extraction'!A:C,3,FALSE)</f>
        <v>142</v>
      </c>
      <c r="E13" s="19">
        <f>VLOOKUP(C13,'Full current HP extraction'!A:C,2,FALSE)</f>
        <v>149</v>
      </c>
      <c r="F13" s="26">
        <f>VLOOKUP(C13,'Current HPE enrichment'!A:C,2,FALSE)</f>
        <v>142</v>
      </c>
      <c r="G13" s="27">
        <f>VLOOKUP(C13,'Current HPE enrichment'!A:C,3,FALSE)</f>
        <v>20.9</v>
      </c>
      <c r="H13" s="19" t="s">
        <v>23</v>
      </c>
      <c r="I13" s="30"/>
    </row>
    <row r="14" spans="1:15" ht="14.25" customHeight="1" x14ac:dyDescent="0.35">
      <c r="A14" s="19">
        <v>2</v>
      </c>
      <c r="B14" s="19" t="s">
        <v>35</v>
      </c>
      <c r="C14" s="19" t="s">
        <v>36</v>
      </c>
      <c r="D14" s="19" t="str">
        <f>VLOOKUP(C14,'Full current HP extraction'!A:C,3,FALSE)</f>
        <v>Not in source</v>
      </c>
      <c r="E14" s="19">
        <f>VLOOKUP(C14,'Full current HP extraction'!A:C,2,FALSE)</f>
        <v>220</v>
      </c>
      <c r="F14" s="26">
        <v>220</v>
      </c>
      <c r="G14" s="27">
        <f>VLOOKUP(C14,'Current HPE enrichment'!A:C,3,FALSE)</f>
        <v>26.1</v>
      </c>
      <c r="H14" s="19" t="s">
        <v>23</v>
      </c>
      <c r="I14" s="30" t="s">
        <v>26</v>
      </c>
    </row>
    <row r="15" spans="1:15" ht="14.25" customHeight="1" x14ac:dyDescent="0.35">
      <c r="A15" s="19">
        <v>2</v>
      </c>
      <c r="B15" s="19" t="s">
        <v>37</v>
      </c>
      <c r="C15" s="19" t="s">
        <v>38</v>
      </c>
      <c r="D15" s="19">
        <f>VLOOKUP(C15,'Full current HP extraction'!A:C,3,FALSE)</f>
        <v>181</v>
      </c>
      <c r="E15" s="19">
        <f>VLOOKUP(C15,'Full current HP extraction'!A:C,2,FALSE)</f>
        <v>198</v>
      </c>
      <c r="F15" s="26">
        <f>VLOOKUP(C15,'Current HPE enrichment'!A:C,2,FALSE)</f>
        <v>181</v>
      </c>
      <c r="G15" s="27">
        <f>VLOOKUP(C15,'Current HPE enrichment'!A:C,3,FALSE)</f>
        <v>13.4</v>
      </c>
      <c r="H15" s="19" t="s">
        <v>44</v>
      </c>
      <c r="I15" s="30" t="s">
        <v>45</v>
      </c>
    </row>
    <row r="16" spans="1:15" ht="14.25" customHeight="1" x14ac:dyDescent="0.35">
      <c r="A16" s="19">
        <v>2</v>
      </c>
      <c r="B16" s="19" t="s">
        <v>39</v>
      </c>
      <c r="C16" s="19" t="s">
        <v>40</v>
      </c>
      <c r="D16" s="19">
        <f>VLOOKUP(C16,'Full current HP extraction'!A:C,3,FALSE)</f>
        <v>186</v>
      </c>
      <c r="E16" s="19">
        <f>VLOOKUP(C16,'Full current HP extraction'!A:C,2,FALSE)</f>
        <v>204</v>
      </c>
      <c r="F16" s="26">
        <f>VLOOKUP(C16,'Current HPE enrichment'!A:C,2,FALSE)</f>
        <v>186</v>
      </c>
      <c r="G16" s="27">
        <f>VLOOKUP(C16,'Current HPE enrichment'!A:C,3,FALSE)</f>
        <v>15.7</v>
      </c>
      <c r="H16" s="19" t="s">
        <v>46</v>
      </c>
      <c r="I16" s="30" t="s">
        <v>47</v>
      </c>
    </row>
    <row r="17" spans="1:9" ht="14.25" customHeight="1" x14ac:dyDescent="0.35">
      <c r="A17" s="19">
        <v>2</v>
      </c>
      <c r="B17" s="19" t="s">
        <v>48</v>
      </c>
      <c r="C17" s="19" t="s">
        <v>49</v>
      </c>
      <c r="D17" s="19">
        <f>VLOOKUP(C17,'Full current HP extraction'!A:C,3,FALSE)</f>
        <v>195</v>
      </c>
      <c r="E17" s="19">
        <f>VLOOKUP(C17,'Full current HP extraction'!A:C,2,FALSE)</f>
        <v>202</v>
      </c>
      <c r="F17" s="26">
        <f>VLOOKUP(C17,'Current HPE enrichment'!A:C,2,FALSE)</f>
        <v>195</v>
      </c>
      <c r="G17" s="27">
        <f>VLOOKUP(C17,'Current HPE enrichment'!A:C,3,FALSE)</f>
        <v>17</v>
      </c>
      <c r="H17" s="19" t="s">
        <v>23</v>
      </c>
      <c r="I17" s="30" t="s">
        <v>26</v>
      </c>
    </row>
    <row r="18" spans="1:9" ht="14.25" customHeight="1" x14ac:dyDescent="0.35">
      <c r="A18" s="19">
        <v>3</v>
      </c>
      <c r="B18" s="19" t="s">
        <v>50</v>
      </c>
      <c r="C18" s="19" t="s">
        <v>51</v>
      </c>
      <c r="D18" s="19">
        <f>VLOOKUP(C18,'Full current HP extraction'!A:C,3,FALSE)</f>
        <v>137</v>
      </c>
      <c r="E18" s="19">
        <f>VLOOKUP(C18,'Full current HP extraction'!A:C,2,FALSE)</f>
        <v>150</v>
      </c>
      <c r="F18" s="26">
        <f>VLOOKUP(C18,'Current HPE enrichment'!A:C,2,FALSE)</f>
        <v>137</v>
      </c>
      <c r="G18" s="27">
        <f>VLOOKUP(C18,'Current HPE enrichment'!A:C,3,FALSE)</f>
        <v>12.7</v>
      </c>
      <c r="H18" s="19" t="s">
        <v>23</v>
      </c>
      <c r="I18" s="30" t="s">
        <v>26</v>
      </c>
    </row>
    <row r="19" spans="1:9" ht="14.25" customHeight="1" x14ac:dyDescent="0.35">
      <c r="A19" s="19">
        <v>3</v>
      </c>
      <c r="B19" s="19" t="s">
        <v>52</v>
      </c>
      <c r="C19" s="19" t="s">
        <v>52</v>
      </c>
      <c r="D19" s="19">
        <f>VLOOKUP(C19,'Full current HP extraction'!A:C,3,FALSE)</f>
        <v>121</v>
      </c>
      <c r="E19" s="19">
        <f>VLOOKUP(C19,'Full current HP extraction'!A:C,2,FALSE)</f>
        <v>134</v>
      </c>
      <c r="F19" s="26">
        <f>VLOOKUP(C19,'Current HPE enrichment'!A:C,2,FALSE)</f>
        <v>121</v>
      </c>
      <c r="G19" s="27">
        <f>VLOOKUP(C19,'Current HPE enrichment'!A:C,3,FALSE)</f>
        <v>13.9</v>
      </c>
      <c r="H19" s="19" t="s">
        <v>23</v>
      </c>
      <c r="I19" s="30" t="s">
        <v>26</v>
      </c>
    </row>
    <row r="20" spans="1:9" ht="14.25" customHeight="1" x14ac:dyDescent="0.35">
      <c r="A20" s="19">
        <v>3</v>
      </c>
      <c r="B20" s="19" t="s">
        <v>53</v>
      </c>
      <c r="C20" s="19" t="s">
        <v>54</v>
      </c>
      <c r="D20" s="19" t="str">
        <f>VLOOKUP(C20,'Full current HP extraction'!A:C,3,FALSE)</f>
        <v>Not in source</v>
      </c>
      <c r="E20" s="19">
        <f>VLOOKUP(C20,'Full current HP extraction'!A:C,2,FALSE)</f>
        <v>200</v>
      </c>
      <c r="F20" s="26">
        <v>200</v>
      </c>
      <c r="G20" s="27">
        <f>VLOOKUP(C20,'Current HPE enrichment'!A:C,3,FALSE)</f>
        <v>17.7</v>
      </c>
      <c r="H20" s="19" t="s">
        <v>23</v>
      </c>
      <c r="I20" s="30" t="s">
        <v>26</v>
      </c>
    </row>
    <row r="21" spans="1:9" ht="14.25" customHeight="1" x14ac:dyDescent="0.35">
      <c r="A21" s="19">
        <v>4</v>
      </c>
      <c r="B21" s="19" t="s">
        <v>55</v>
      </c>
      <c r="C21" s="19" t="s">
        <v>55</v>
      </c>
      <c r="D21" s="19">
        <f>VLOOKUP(C21,'Full current HP extraction'!A:C,3,FALSE)</f>
        <v>307</v>
      </c>
      <c r="E21" s="19">
        <f>VLOOKUP(C21,'Full current HP extraction'!A:C,2,FALSE)</f>
        <v>315</v>
      </c>
      <c r="F21" s="26">
        <f>VLOOKUP(C21,'Current HPE enrichment'!A:C,2,FALSE)</f>
        <v>307</v>
      </c>
      <c r="G21" s="27">
        <f>VLOOKUP(C21,'Current HPE enrichment'!A:C,3,FALSE)</f>
        <v>21.3</v>
      </c>
      <c r="I21" s="30" t="s">
        <v>26</v>
      </c>
    </row>
    <row r="22" spans="1:9" ht="14.25" customHeight="1" x14ac:dyDescent="0.35">
      <c r="A22" s="19">
        <v>4</v>
      </c>
      <c r="B22" s="19" t="s">
        <v>56</v>
      </c>
      <c r="C22" s="19" t="s">
        <v>57</v>
      </c>
      <c r="D22" s="19" t="str">
        <f>VLOOKUP(C22,'Full current HP extraction'!A:C,3,FALSE)</f>
        <v>Not in source</v>
      </c>
      <c r="E22" s="19">
        <f>VLOOKUP(C22,'Full current HP extraction'!A:C,2,FALSE)</f>
        <v>300</v>
      </c>
      <c r="F22" s="26">
        <v>300</v>
      </c>
      <c r="G22" s="27">
        <f>VLOOKUP(C22,'Current HPE enrichment'!A:C,3,FALSE)</f>
        <v>38.4</v>
      </c>
      <c r="I22" s="30" t="s">
        <v>26</v>
      </c>
    </row>
    <row r="23" spans="1:9" ht="14.25" customHeight="1" x14ac:dyDescent="0.35">
      <c r="A23" s="19">
        <v>4</v>
      </c>
      <c r="B23" s="19" t="s">
        <v>58</v>
      </c>
      <c r="C23" s="19" t="s">
        <v>59</v>
      </c>
      <c r="D23" s="19" t="str">
        <f>VLOOKUP(C23,'Full current HP extraction'!A:C,3,FALSE)</f>
        <v>Not in source</v>
      </c>
      <c r="E23" s="19">
        <f>VLOOKUP(C23,'Full current HP extraction'!A:C,2,FALSE)</f>
        <v>205</v>
      </c>
      <c r="F23" s="26">
        <v>205</v>
      </c>
      <c r="G23" s="27">
        <v>11.73</v>
      </c>
      <c r="H23" s="19" t="s">
        <v>23</v>
      </c>
      <c r="I23" s="30" t="s">
        <v>26</v>
      </c>
    </row>
    <row r="24" spans="1:9" ht="14.25" customHeight="1" x14ac:dyDescent="0.35">
      <c r="A24" s="19">
        <v>4</v>
      </c>
      <c r="B24" s="37" t="s">
        <v>60</v>
      </c>
      <c r="C24" s="25" t="s">
        <v>61</v>
      </c>
      <c r="D24" s="19" t="e">
        <f>VLOOKUP(C24,'Full current HP extraction'!A:C,3,FALSE)</f>
        <v>#N/A</v>
      </c>
      <c r="E24" s="19" t="e">
        <f>VLOOKUP(C24,'Full current HP extraction'!A:C,2,FALSE)</f>
        <v>#N/A</v>
      </c>
      <c r="F24" s="26">
        <v>185</v>
      </c>
      <c r="G24" s="27">
        <v>22</v>
      </c>
      <c r="H24" s="37" t="s">
        <v>23</v>
      </c>
      <c r="I24" s="28" t="s">
        <v>24</v>
      </c>
    </row>
    <row r="25" spans="1:9" ht="14.25" customHeight="1" x14ac:dyDescent="0.35">
      <c r="A25" s="19">
        <v>4</v>
      </c>
      <c r="B25" s="19" t="s">
        <v>62</v>
      </c>
      <c r="C25" s="25" t="s">
        <v>63</v>
      </c>
      <c r="D25" s="19" t="e">
        <f>VLOOKUP(C25,'Full current HP extraction'!A:C,3,FALSE)</f>
        <v>#N/A</v>
      </c>
      <c r="E25" s="19" t="e">
        <f>VLOOKUP(C25,'Full current HP extraction'!A:C,2,FALSE)</f>
        <v>#N/A</v>
      </c>
      <c r="F25" s="26">
        <v>210</v>
      </c>
      <c r="G25" s="27">
        <v>20.399999999999999</v>
      </c>
      <c r="H25" s="37" t="s">
        <v>23</v>
      </c>
      <c r="I25" s="28" t="s">
        <v>24</v>
      </c>
    </row>
    <row r="26" spans="1:9" ht="14.25" customHeight="1" x14ac:dyDescent="0.35">
      <c r="A26" s="19">
        <v>4</v>
      </c>
      <c r="B26" s="19" t="s">
        <v>64</v>
      </c>
      <c r="C26" s="19" t="s">
        <v>64</v>
      </c>
      <c r="D26" s="19">
        <f>VLOOKUP(C26,'Full current HP extraction'!A:C,3,FALSE)</f>
        <v>319</v>
      </c>
      <c r="E26" s="19">
        <f>VLOOKUP(C26,'Full current HP extraction'!A:C,2,FALSE)</f>
        <v>330</v>
      </c>
      <c r="F26" s="26">
        <f>VLOOKUP(C26,'Current HPE enrichment'!A:C,2,FALSE)</f>
        <v>319</v>
      </c>
      <c r="G26" s="27">
        <f>VLOOKUP(C26,'Current HPE enrichment'!A:C,3,FALSE)</f>
        <v>27.9</v>
      </c>
      <c r="I26" s="30" t="s">
        <v>26</v>
      </c>
    </row>
    <row r="27" spans="1:9" ht="14.25" customHeight="1" x14ac:dyDescent="0.35">
      <c r="A27" s="19">
        <v>4</v>
      </c>
      <c r="B27" s="19" t="s">
        <v>65</v>
      </c>
      <c r="C27" s="19" t="s">
        <v>65</v>
      </c>
      <c r="D27" s="19">
        <f>VLOOKUP(C27,'Full current HP extraction'!A:C,3,FALSE)</f>
        <v>328</v>
      </c>
      <c r="E27" s="19">
        <f>VLOOKUP(C27,'Full current HP extraction'!A:C,2,FALSE)</f>
        <v>342</v>
      </c>
      <c r="F27" s="26">
        <f>VLOOKUP(C27,'Current HPE enrichment'!A:C,2,FALSE)</f>
        <v>328</v>
      </c>
      <c r="G27" s="27">
        <f>VLOOKUP(C27,'Current HPE enrichment'!A:C,3,FALSE)</f>
        <v>35.5</v>
      </c>
      <c r="I27" s="30" t="s">
        <v>26</v>
      </c>
    </row>
    <row r="28" spans="1:9" ht="14.25" customHeight="1" x14ac:dyDescent="0.35">
      <c r="A28" s="19">
        <v>5</v>
      </c>
      <c r="B28" s="19" t="s">
        <v>66</v>
      </c>
      <c r="C28" s="19" t="s">
        <v>67</v>
      </c>
      <c r="D28" s="19">
        <f>VLOOKUP(C28,'Full current HP extraction'!A:C,3,FALSE)</f>
        <v>126</v>
      </c>
      <c r="E28" s="19">
        <f>VLOOKUP(C28,'Full current HP extraction'!A:C,2,FALSE)</f>
        <v>138</v>
      </c>
      <c r="F28" s="26">
        <f>VLOOKUP(C28,'Current HPE enrichment'!A:C,2,FALSE)</f>
        <v>126</v>
      </c>
      <c r="G28" s="27">
        <f>VLOOKUP(C28,'Current HPE enrichment'!A:C,3,FALSE)</f>
        <v>11</v>
      </c>
      <c r="H28" s="19" t="s">
        <v>23</v>
      </c>
      <c r="I28" s="30" t="s">
        <v>26</v>
      </c>
    </row>
    <row r="29" spans="1:9" ht="14.25" customHeight="1" x14ac:dyDescent="0.35">
      <c r="A29" s="19">
        <v>5</v>
      </c>
      <c r="B29" s="19" t="s">
        <v>68</v>
      </c>
      <c r="C29" s="19" t="s">
        <v>68</v>
      </c>
      <c r="D29" s="19">
        <f>VLOOKUP(C29,'Full current HP extraction'!A:C,3,FALSE)</f>
        <v>125</v>
      </c>
      <c r="E29" s="19">
        <f>VLOOKUP(C29,'Full current HP extraction'!A:C,2,FALSE)</f>
        <v>137</v>
      </c>
      <c r="F29" s="26">
        <f>VLOOKUP(C29,'Current HPE enrichment'!A:C,2,FALSE)</f>
        <v>125</v>
      </c>
      <c r="G29" s="27">
        <f>VLOOKUP(C29,'Current HPE enrichment'!A:C,3,FALSE)</f>
        <v>17.899999999999999</v>
      </c>
      <c r="I29" s="30" t="s">
        <v>26</v>
      </c>
    </row>
    <row r="30" spans="1:9" ht="14.25" customHeight="1" x14ac:dyDescent="0.35">
      <c r="A30" s="19">
        <v>5</v>
      </c>
      <c r="B30" s="19" t="s">
        <v>69</v>
      </c>
      <c r="C30" s="19" t="s">
        <v>69</v>
      </c>
      <c r="D30" s="19">
        <f>VLOOKUP(C30,'Full current HP extraction'!A:C,3,FALSE)</f>
        <v>116</v>
      </c>
      <c r="E30" s="19">
        <f>VLOOKUP(C30,'Full current HP extraction'!A:C,2,FALSE)</f>
        <v>130</v>
      </c>
      <c r="F30" s="26">
        <f>VLOOKUP(C30,'Current HPE enrichment'!A:C,2,FALSE)</f>
        <v>116</v>
      </c>
      <c r="G30" s="27">
        <f>VLOOKUP(C30,'Current HPE enrichment'!A:C,3,FALSE)</f>
        <v>18.3</v>
      </c>
      <c r="I30" s="30" t="s">
        <v>26</v>
      </c>
    </row>
    <row r="31" spans="1:9" ht="14.25" customHeight="1" x14ac:dyDescent="0.35">
      <c r="A31" s="19">
        <v>6</v>
      </c>
      <c r="B31" s="19" t="s">
        <v>70</v>
      </c>
      <c r="C31" s="19" t="s">
        <v>54</v>
      </c>
      <c r="D31" s="19" t="str">
        <f>VLOOKUP(C31,'Full current HP extraction'!A:C,3,FALSE)</f>
        <v>Not in source</v>
      </c>
      <c r="E31" s="19">
        <f>VLOOKUP(C31,'Full current HP extraction'!A:C,2,FALSE)</f>
        <v>200</v>
      </c>
      <c r="F31" s="26">
        <v>200</v>
      </c>
      <c r="G31" s="27">
        <f>VLOOKUP(C31,'Current HPE enrichment'!A:C,3,FALSE)</f>
        <v>17.7</v>
      </c>
      <c r="H31" s="19" t="s">
        <v>23</v>
      </c>
      <c r="I31" s="30" t="s">
        <v>26</v>
      </c>
    </row>
    <row r="32" spans="1:9" ht="14.25" customHeight="1" x14ac:dyDescent="0.35">
      <c r="A32" s="19">
        <v>6</v>
      </c>
      <c r="B32" s="19" t="s">
        <v>71</v>
      </c>
      <c r="C32" s="19" t="s">
        <v>72</v>
      </c>
      <c r="D32" s="19" t="str">
        <f>VLOOKUP(C32,'Full current HP extraction'!A:C,3,FALSE)</f>
        <v>Not in source</v>
      </c>
      <c r="E32" s="19">
        <f>VLOOKUP(C32,'Full current HP extraction'!A:C,2,FALSE)</f>
        <v>185</v>
      </c>
      <c r="F32" s="26">
        <v>185</v>
      </c>
      <c r="G32" s="27">
        <v>11.31</v>
      </c>
      <c r="H32" s="19" t="s">
        <v>23</v>
      </c>
      <c r="I32" s="30" t="s">
        <v>26</v>
      </c>
    </row>
    <row r="33" spans="1:9" ht="14.25" customHeight="1" x14ac:dyDescent="0.35">
      <c r="A33" s="19">
        <v>6</v>
      </c>
      <c r="B33" s="19" t="s">
        <v>73</v>
      </c>
      <c r="C33" s="38" t="s">
        <v>73</v>
      </c>
      <c r="D33" s="19">
        <f>VLOOKUP(C33,'Full current HP extraction'!A:C,3,FALSE)</f>
        <v>164</v>
      </c>
      <c r="E33" s="19">
        <f>VLOOKUP(C33,'Full current HP extraction'!A:C,2,FALSE)</f>
        <v>178</v>
      </c>
      <c r="F33" s="26">
        <f>VLOOKUP(C33,'Current HPE enrichment'!A:C,2,FALSE)</f>
        <v>164</v>
      </c>
      <c r="G33" s="27">
        <f>VLOOKUP(C33,'Current HPE enrichment'!A:C,3,FALSE)</f>
        <v>12.5</v>
      </c>
      <c r="I33" s="30" t="s">
        <v>26</v>
      </c>
    </row>
    <row r="34" spans="1:9" ht="14.25" customHeight="1" x14ac:dyDescent="0.35">
      <c r="A34" s="19">
        <v>7</v>
      </c>
      <c r="B34" s="19" t="s">
        <v>74</v>
      </c>
      <c r="C34" s="19" t="s">
        <v>74</v>
      </c>
      <c r="D34" s="19" t="str">
        <f>VLOOKUP(C34,'Full current HP extraction'!A:C,3,FALSE)</f>
        <v>Not in source</v>
      </c>
      <c r="E34" s="19">
        <f>VLOOKUP(C34,'Full current HP extraction'!A:C,2,FALSE)</f>
        <v>285</v>
      </c>
      <c r="F34" s="26">
        <v>285</v>
      </c>
      <c r="G34" s="27">
        <f>VLOOKUP(C34,'Current HPE enrichment'!A:C,3,FALSE)</f>
        <v>54.03</v>
      </c>
      <c r="I34" s="30" t="s">
        <v>26</v>
      </c>
    </row>
    <row r="35" spans="1:9" ht="14.25" customHeight="1" x14ac:dyDescent="0.35">
      <c r="A35" s="19">
        <v>7</v>
      </c>
      <c r="B35" s="19" t="s">
        <v>75</v>
      </c>
      <c r="C35" s="19" t="s">
        <v>76</v>
      </c>
      <c r="D35" s="19" t="str">
        <f>VLOOKUP(C35,'Full current HP extraction'!A:C,3,FALSE)</f>
        <v>Not in source</v>
      </c>
      <c r="E35" s="19">
        <f>VLOOKUP(C35,'Full current HP extraction'!A:C,2,FALSE)</f>
        <v>250</v>
      </c>
      <c r="F35" s="26">
        <v>250</v>
      </c>
      <c r="G35" s="27">
        <f>VLOOKUP(C35,'Current HPE enrichment'!A:C,3,FALSE)</f>
        <v>40.090000000000003</v>
      </c>
      <c r="I35" s="30" t="s">
        <v>26</v>
      </c>
    </row>
    <row r="36" spans="1:9" ht="14.25" customHeight="1" x14ac:dyDescent="0.35">
      <c r="A36" s="19">
        <v>7</v>
      </c>
      <c r="B36" s="19" t="s">
        <v>77</v>
      </c>
      <c r="C36" s="19" t="s">
        <v>77</v>
      </c>
      <c r="D36" s="19">
        <f>VLOOKUP(C36,'Full current HP extraction'!A:C,3,FALSE)</f>
        <v>132</v>
      </c>
      <c r="E36" s="19">
        <f>VLOOKUP(C36,'Full current HP extraction'!A:C,2,FALSE)</f>
        <v>146</v>
      </c>
      <c r="F36" s="26">
        <f>VLOOKUP(C36,'Current HPE enrichment'!A:C,2,FALSE)</f>
        <v>132</v>
      </c>
      <c r="G36" s="27">
        <f>VLOOKUP(C36,'Current HPE enrichment'!A:C,3,FALSE)</f>
        <v>28.7</v>
      </c>
      <c r="I36" s="30" t="s">
        <v>26</v>
      </c>
    </row>
    <row r="37" spans="1:9" ht="14.25" customHeight="1" x14ac:dyDescent="0.35">
      <c r="A37" s="19">
        <v>7</v>
      </c>
      <c r="B37" s="19" t="s">
        <v>78</v>
      </c>
      <c r="C37" s="19" t="s">
        <v>76</v>
      </c>
      <c r="D37" s="19" t="str">
        <f>VLOOKUP(C37,'Full current HP extraction'!A:C,3,FALSE)</f>
        <v>Not in source</v>
      </c>
      <c r="E37" s="19">
        <f>VLOOKUP(C37,'Full current HP extraction'!A:C,2,FALSE)</f>
        <v>250</v>
      </c>
      <c r="F37" s="26">
        <v>250</v>
      </c>
      <c r="G37" s="27">
        <f>VLOOKUP(C37,'Current HPE enrichment'!A:C,3,FALSE)</f>
        <v>40.090000000000003</v>
      </c>
      <c r="I37" s="30" t="s">
        <v>26</v>
      </c>
    </row>
    <row r="38" spans="1:9" ht="14.25" customHeight="1" x14ac:dyDescent="0.35">
      <c r="A38" s="19">
        <v>7</v>
      </c>
      <c r="B38" s="19" t="s">
        <v>79</v>
      </c>
      <c r="C38" s="19" t="s">
        <v>79</v>
      </c>
      <c r="D38" s="19">
        <f>VLOOKUP(C38,'Full current HP extraction'!A:C,3,FALSE)</f>
        <v>212</v>
      </c>
      <c r="E38" s="19">
        <f>VLOOKUP(C38,'Full current HP extraction'!A:C,2,FALSE)</f>
        <v>235</v>
      </c>
      <c r="F38" s="26">
        <f>VLOOKUP(C38,'Current HPE enrichment'!A:C,2,FALSE)</f>
        <v>212</v>
      </c>
      <c r="G38" s="27">
        <f>VLOOKUP(C38,'Current HPE enrichment'!A:C,3,FALSE)</f>
        <v>48.8</v>
      </c>
      <c r="I38" s="30" t="s">
        <v>26</v>
      </c>
    </row>
    <row r="39" spans="1:9" ht="14.25" customHeight="1" x14ac:dyDescent="0.35">
      <c r="A39" s="19">
        <v>7</v>
      </c>
      <c r="B39" s="19" t="s">
        <v>80</v>
      </c>
      <c r="C39" s="19" t="s">
        <v>81</v>
      </c>
      <c r="D39" s="19">
        <f>VLOOKUP(C39,'Full current HP extraction'!A:C,3,FALSE)</f>
        <v>206</v>
      </c>
      <c r="E39" s="19">
        <f>VLOOKUP(C39,'Full current HP extraction'!A:C,2,FALSE)</f>
        <v>218</v>
      </c>
      <c r="F39" s="26">
        <f>VLOOKUP(C39,'Current HPE enrichment'!A:C,2,FALSE)</f>
        <v>206</v>
      </c>
      <c r="G39" s="27">
        <f>VLOOKUP(C39,'Current HPE enrichment'!A:C,3,FALSE)</f>
        <v>24.8</v>
      </c>
      <c r="H39" s="19" t="s">
        <v>23</v>
      </c>
      <c r="I39" s="30" t="s">
        <v>26</v>
      </c>
    </row>
    <row r="40" spans="1:9" ht="14.25" customHeight="1" x14ac:dyDescent="0.35">
      <c r="A40" s="19">
        <v>7</v>
      </c>
      <c r="B40" s="19" t="s">
        <v>82</v>
      </c>
      <c r="C40" s="19" t="s">
        <v>83</v>
      </c>
      <c r="D40" s="19">
        <f>VLOOKUP(C40,'Full current HP extraction'!A:C,3,FALSE)</f>
        <v>126</v>
      </c>
      <c r="E40" s="19">
        <f>VLOOKUP(C40,'Full current HP extraction'!A:C,2,FALSE)</f>
        <v>139</v>
      </c>
      <c r="F40" s="26">
        <f>VLOOKUP(C40,'Current HPE enrichment'!A:C,2,FALSE)</f>
        <v>126</v>
      </c>
      <c r="G40" s="27">
        <f>VLOOKUP(C40,'Current HPE enrichment'!A:C,3,FALSE)</f>
        <v>26.1</v>
      </c>
      <c r="H40" s="19" t="s">
        <v>23</v>
      </c>
      <c r="I40" s="30" t="s">
        <v>26</v>
      </c>
    </row>
    <row r="41" spans="1:9" ht="14.25" customHeight="1" x14ac:dyDescent="0.35">
      <c r="A41" s="19">
        <v>7</v>
      </c>
      <c r="B41" s="19" t="s">
        <v>84</v>
      </c>
      <c r="C41" s="25" t="s">
        <v>84</v>
      </c>
      <c r="D41" s="19" t="e">
        <f>VLOOKUP(C41,'Full current HP extraction'!A:C,3,FALSE)</f>
        <v>#N/A</v>
      </c>
      <c r="E41" s="19" t="e">
        <f>VLOOKUP(C41,'Full current HP extraction'!A:C,2,FALSE)</f>
        <v>#N/A</v>
      </c>
      <c r="F41" s="26">
        <v>535</v>
      </c>
      <c r="G41" s="27">
        <v>65</v>
      </c>
      <c r="H41" s="19" t="s">
        <v>23</v>
      </c>
      <c r="I41" s="28" t="s">
        <v>24</v>
      </c>
    </row>
    <row r="42" spans="1:9" ht="14.25" customHeight="1" x14ac:dyDescent="0.35">
      <c r="A42" s="19">
        <v>8</v>
      </c>
      <c r="B42" s="19" t="s">
        <v>85</v>
      </c>
      <c r="C42" s="19" t="s">
        <v>86</v>
      </c>
      <c r="D42" s="19">
        <f>VLOOKUP(C42,'Full current HP extraction'!A:C,3,FALSE)</f>
        <v>712</v>
      </c>
      <c r="E42" s="19">
        <f>VLOOKUP(C42,'Full current HP extraction'!A:C,2,FALSE)</f>
        <v>880</v>
      </c>
      <c r="F42" s="26">
        <f>VLOOKUP(C42,'Current HPE enrichment'!A:C,2,FALSE)</f>
        <v>712</v>
      </c>
      <c r="G42" s="27">
        <f>VLOOKUP(C42,'Current HPE enrichment'!A:C,3,FALSE)</f>
        <v>356.1</v>
      </c>
      <c r="H42" s="19" t="s">
        <v>23</v>
      </c>
      <c r="I42" s="30" t="s">
        <v>26</v>
      </c>
    </row>
    <row r="43" spans="1:9" ht="14.25" customHeight="1" x14ac:dyDescent="0.35">
      <c r="A43" s="19">
        <v>8</v>
      </c>
      <c r="B43" s="19" t="s">
        <v>87</v>
      </c>
      <c r="C43" s="19" t="s">
        <v>88</v>
      </c>
      <c r="D43" s="19">
        <f>VLOOKUP(C43,'Full current HP extraction'!A:C,3,FALSE)</f>
        <v>693</v>
      </c>
      <c r="E43" s="19">
        <f>VLOOKUP(C43,'Full current HP extraction'!A:C,2,FALSE)</f>
        <v>839</v>
      </c>
      <c r="F43" s="26">
        <f>VLOOKUP(C43,'Current HPE enrichment'!A:C,2,FALSE)</f>
        <v>693</v>
      </c>
      <c r="G43" s="27">
        <f>VLOOKUP(C43,'Current HPE enrichment'!A:C,3,FALSE)</f>
        <v>309.3</v>
      </c>
      <c r="H43" s="19" t="s">
        <v>23</v>
      </c>
      <c r="I43" s="30" t="s">
        <v>26</v>
      </c>
    </row>
    <row r="44" spans="1:9" ht="14.25" customHeight="1" x14ac:dyDescent="0.35">
      <c r="A44" s="19">
        <v>8</v>
      </c>
      <c r="B44" s="19" t="s">
        <v>89</v>
      </c>
      <c r="C44" s="19" t="s">
        <v>89</v>
      </c>
      <c r="D44" s="19">
        <f>VLOOKUP(C44,'Full current HP extraction'!A:C,3,FALSE)</f>
        <v>400</v>
      </c>
      <c r="E44" s="19">
        <f>VLOOKUP(C44,'Full current HP extraction'!A:C,2,FALSE)</f>
        <v>464</v>
      </c>
      <c r="F44" s="26">
        <f>VLOOKUP(C44,'Current HPE enrichment'!A:C,2,FALSE)</f>
        <v>400</v>
      </c>
      <c r="G44" s="27">
        <f>VLOOKUP(C44,'Current HPE enrichment'!A:C,3,FALSE)</f>
        <v>135.30000000000001</v>
      </c>
      <c r="I44" s="30" t="s">
        <v>26</v>
      </c>
    </row>
    <row r="45" spans="1:9" ht="14.25" customHeight="1" x14ac:dyDescent="0.35">
      <c r="A45" s="19">
        <v>8</v>
      </c>
      <c r="B45" s="19" t="s">
        <v>90</v>
      </c>
      <c r="C45" s="19" t="s">
        <v>90</v>
      </c>
      <c r="D45" s="19">
        <f>VLOOKUP(C45,'Full current HP extraction'!A:C,3,FALSE)</f>
        <v>142</v>
      </c>
      <c r="E45" s="19">
        <f>VLOOKUP(C45,'Full current HP extraction'!A:C,2,FALSE)</f>
        <v>166</v>
      </c>
      <c r="F45" s="26">
        <f>VLOOKUP(C45,'Current HPE enrichment'!A:C,2,FALSE)</f>
        <v>142</v>
      </c>
      <c r="G45" s="27">
        <f>VLOOKUP(C45,'Current HPE enrichment'!A:C,3,FALSE)</f>
        <v>14.7</v>
      </c>
      <c r="I45" s="30" t="s">
        <v>26</v>
      </c>
    </row>
    <row r="46" spans="1:9" ht="14.25" customHeight="1" x14ac:dyDescent="0.35">
      <c r="G46" s="39"/>
    </row>
    <row r="47" spans="1:9" ht="14.25" customHeight="1" x14ac:dyDescent="0.35">
      <c r="G47" s="39"/>
    </row>
    <row r="48" spans="1:9" ht="14.25" customHeight="1" x14ac:dyDescent="0.35">
      <c r="B48" s="40"/>
      <c r="G48" s="39"/>
    </row>
    <row r="49" spans="7:7" ht="14.25" customHeight="1" x14ac:dyDescent="0.35">
      <c r="G49" s="39"/>
    </row>
    <row r="50" spans="7:7" ht="14.25" customHeight="1" x14ac:dyDescent="0.35">
      <c r="G50" s="39"/>
    </row>
    <row r="51" spans="7:7" ht="14.25" customHeight="1" x14ac:dyDescent="0.35">
      <c r="G51" s="39"/>
    </row>
    <row r="52" spans="7:7" ht="14.25" customHeight="1" x14ac:dyDescent="0.35">
      <c r="G52" s="39"/>
    </row>
    <row r="53" spans="7:7" ht="14.25" customHeight="1" x14ac:dyDescent="0.35">
      <c r="G53" s="39"/>
    </row>
    <row r="54" spans="7:7" ht="14.25" customHeight="1" x14ac:dyDescent="0.35">
      <c r="G54" s="39"/>
    </row>
    <row r="55" spans="7:7" ht="14.25" customHeight="1" x14ac:dyDescent="0.35">
      <c r="G55" s="39"/>
    </row>
    <row r="56" spans="7:7" ht="14.25" customHeight="1" x14ac:dyDescent="0.35">
      <c r="G56" s="39"/>
    </row>
    <row r="57" spans="7:7" ht="14.25" customHeight="1" x14ac:dyDescent="0.35">
      <c r="G57" s="39"/>
    </row>
    <row r="58" spans="7:7" ht="14.25" customHeight="1" x14ac:dyDescent="0.35">
      <c r="G58" s="39"/>
    </row>
    <row r="59" spans="7:7" ht="14.25" customHeight="1" x14ac:dyDescent="0.35">
      <c r="G59" s="39"/>
    </row>
    <row r="60" spans="7:7" ht="14.25" customHeight="1" x14ac:dyDescent="0.35">
      <c r="G60" s="39"/>
    </row>
    <row r="61" spans="7:7" ht="14.25" customHeight="1" x14ac:dyDescent="0.35">
      <c r="G61" s="39"/>
    </row>
    <row r="62" spans="7:7" ht="14.25" customHeight="1" x14ac:dyDescent="0.35">
      <c r="G62" s="39"/>
    </row>
    <row r="63" spans="7:7" ht="14.25" customHeight="1" x14ac:dyDescent="0.35">
      <c r="G63" s="39"/>
    </row>
    <row r="64" spans="7:7" ht="14.25" customHeight="1" x14ac:dyDescent="0.35">
      <c r="G64" s="39"/>
    </row>
    <row r="65" spans="7:7" ht="14.25" customHeight="1" x14ac:dyDescent="0.35">
      <c r="G65" s="39"/>
    </row>
    <row r="66" spans="7:7" ht="14.25" customHeight="1" x14ac:dyDescent="0.35">
      <c r="G66" s="39"/>
    </row>
    <row r="67" spans="7:7" ht="14.25" customHeight="1" x14ac:dyDescent="0.35">
      <c r="G67" s="39"/>
    </row>
    <row r="68" spans="7:7" ht="14.25" customHeight="1" x14ac:dyDescent="0.35">
      <c r="G68" s="39"/>
    </row>
    <row r="69" spans="7:7" ht="14.25" customHeight="1" x14ac:dyDescent="0.35">
      <c r="G69" s="39"/>
    </row>
    <row r="70" spans="7:7" ht="14.25" customHeight="1" x14ac:dyDescent="0.35">
      <c r="G70" s="39"/>
    </row>
    <row r="71" spans="7:7" ht="14.25" customHeight="1" x14ac:dyDescent="0.35">
      <c r="G71" s="39"/>
    </row>
    <row r="72" spans="7:7" ht="14.25" customHeight="1" x14ac:dyDescent="0.35">
      <c r="G72" s="39"/>
    </row>
    <row r="73" spans="7:7" ht="14.25" customHeight="1" x14ac:dyDescent="0.35">
      <c r="G73" s="39"/>
    </row>
    <row r="74" spans="7:7" ht="14.25" customHeight="1" x14ac:dyDescent="0.35">
      <c r="G74" s="39"/>
    </row>
    <row r="75" spans="7:7" ht="14.25" customHeight="1" x14ac:dyDescent="0.35">
      <c r="G75" s="39"/>
    </row>
    <row r="76" spans="7:7" ht="14.25" customHeight="1" x14ac:dyDescent="0.35">
      <c r="G76" s="39"/>
    </row>
    <row r="77" spans="7:7" ht="14.25" customHeight="1" x14ac:dyDescent="0.35">
      <c r="G77" s="39"/>
    </row>
    <row r="78" spans="7:7" ht="14.25" customHeight="1" x14ac:dyDescent="0.35">
      <c r="G78" s="39"/>
    </row>
    <row r="79" spans="7:7" ht="14.25" customHeight="1" x14ac:dyDescent="0.35">
      <c r="G79" s="39"/>
    </row>
    <row r="80" spans="7:7" ht="14.25" customHeight="1" x14ac:dyDescent="0.35">
      <c r="G80" s="39"/>
    </row>
    <row r="81" spans="7:7" ht="14.25" customHeight="1" x14ac:dyDescent="0.35">
      <c r="G81" s="39"/>
    </row>
    <row r="82" spans="7:7" ht="14.25" customHeight="1" x14ac:dyDescent="0.35">
      <c r="G82" s="39"/>
    </row>
    <row r="83" spans="7:7" ht="14.25" customHeight="1" x14ac:dyDescent="0.35">
      <c r="G83" s="39"/>
    </row>
    <row r="84" spans="7:7" ht="14.25" customHeight="1" x14ac:dyDescent="0.35">
      <c r="G84" s="39"/>
    </row>
    <row r="85" spans="7:7" ht="14.25" customHeight="1" x14ac:dyDescent="0.35">
      <c r="G85" s="39"/>
    </row>
    <row r="86" spans="7:7" ht="14.25" customHeight="1" x14ac:dyDescent="0.35">
      <c r="G86" s="39"/>
    </row>
    <row r="87" spans="7:7" ht="14.25" customHeight="1" x14ac:dyDescent="0.35">
      <c r="G87" s="39"/>
    </row>
    <row r="88" spans="7:7" ht="14.25" customHeight="1" x14ac:dyDescent="0.35">
      <c r="G88" s="39"/>
    </row>
    <row r="89" spans="7:7" ht="14.25" customHeight="1" x14ac:dyDescent="0.35">
      <c r="G89" s="39"/>
    </row>
    <row r="90" spans="7:7" ht="14.25" customHeight="1" x14ac:dyDescent="0.35">
      <c r="G90" s="39"/>
    </row>
    <row r="91" spans="7:7" ht="14.25" customHeight="1" x14ac:dyDescent="0.35">
      <c r="G91" s="39"/>
    </row>
    <row r="92" spans="7:7" ht="14.25" customHeight="1" x14ac:dyDescent="0.35">
      <c r="G92" s="39"/>
    </row>
    <row r="93" spans="7:7" ht="14.25" customHeight="1" x14ac:dyDescent="0.35">
      <c r="G93" s="39"/>
    </row>
    <row r="94" spans="7:7" ht="14.25" customHeight="1" x14ac:dyDescent="0.35">
      <c r="G94" s="39"/>
    </row>
    <row r="95" spans="7:7" ht="14.25" customHeight="1" x14ac:dyDescent="0.35">
      <c r="G95" s="39"/>
    </row>
    <row r="96" spans="7:7" ht="14.25" customHeight="1" x14ac:dyDescent="0.35">
      <c r="G96" s="39"/>
    </row>
    <row r="97" spans="7:7" ht="14.25" customHeight="1" x14ac:dyDescent="0.35">
      <c r="G97" s="39"/>
    </row>
    <row r="98" spans="7:7" ht="14.25" customHeight="1" x14ac:dyDescent="0.35">
      <c r="G98" s="39"/>
    </row>
    <row r="99" spans="7:7" ht="14.25" customHeight="1" x14ac:dyDescent="0.35">
      <c r="G99" s="39"/>
    </row>
    <row r="100" spans="7:7" ht="14.25" customHeight="1" x14ac:dyDescent="0.35">
      <c r="G100" s="39"/>
    </row>
    <row r="101" spans="7:7" ht="14.25" customHeight="1" x14ac:dyDescent="0.35">
      <c r="G101" s="39"/>
    </row>
    <row r="102" spans="7:7" ht="14.25" customHeight="1" x14ac:dyDescent="0.35">
      <c r="G102" s="39"/>
    </row>
    <row r="103" spans="7:7" ht="14.25" customHeight="1" x14ac:dyDescent="0.35">
      <c r="G103" s="39"/>
    </row>
    <row r="104" spans="7:7" ht="14.25" customHeight="1" x14ac:dyDescent="0.35">
      <c r="G104" s="39"/>
    </row>
    <row r="105" spans="7:7" ht="14.25" customHeight="1" x14ac:dyDescent="0.35">
      <c r="G105" s="39"/>
    </row>
    <row r="106" spans="7:7" ht="14.25" customHeight="1" x14ac:dyDescent="0.35">
      <c r="G106" s="39"/>
    </row>
    <row r="107" spans="7:7" ht="14.25" customHeight="1" x14ac:dyDescent="0.35">
      <c r="G107" s="39"/>
    </row>
    <row r="108" spans="7:7" ht="14.25" customHeight="1" x14ac:dyDescent="0.35">
      <c r="G108" s="39"/>
    </row>
    <row r="109" spans="7:7" ht="14.25" customHeight="1" x14ac:dyDescent="0.35">
      <c r="G109" s="39"/>
    </row>
    <row r="110" spans="7:7" ht="14.25" customHeight="1" x14ac:dyDescent="0.35">
      <c r="G110" s="39"/>
    </row>
    <row r="111" spans="7:7" ht="14.25" customHeight="1" x14ac:dyDescent="0.35">
      <c r="G111" s="39"/>
    </row>
    <row r="112" spans="7:7" ht="14.25" customHeight="1" x14ac:dyDescent="0.35">
      <c r="G112" s="39"/>
    </row>
    <row r="113" spans="7:7" ht="14.25" customHeight="1" x14ac:dyDescent="0.35">
      <c r="G113" s="39"/>
    </row>
    <row r="114" spans="7:7" ht="14.25" customHeight="1" x14ac:dyDescent="0.35">
      <c r="G114" s="39"/>
    </row>
    <row r="115" spans="7:7" ht="14.25" customHeight="1" x14ac:dyDescent="0.35">
      <c r="G115" s="39"/>
    </row>
    <row r="116" spans="7:7" ht="14.25" customHeight="1" x14ac:dyDescent="0.35">
      <c r="G116" s="39"/>
    </row>
    <row r="117" spans="7:7" ht="14.25" customHeight="1" x14ac:dyDescent="0.35">
      <c r="G117" s="39"/>
    </row>
    <row r="118" spans="7:7" ht="14.25" customHeight="1" x14ac:dyDescent="0.35">
      <c r="G118" s="39"/>
    </row>
    <row r="119" spans="7:7" ht="14.25" customHeight="1" x14ac:dyDescent="0.35">
      <c r="G119" s="39"/>
    </row>
    <row r="120" spans="7:7" ht="14.25" customHeight="1" x14ac:dyDescent="0.35">
      <c r="G120" s="39"/>
    </row>
    <row r="121" spans="7:7" ht="14.25" customHeight="1" x14ac:dyDescent="0.35">
      <c r="G121" s="39"/>
    </row>
    <row r="122" spans="7:7" ht="14.25" customHeight="1" x14ac:dyDescent="0.35">
      <c r="G122" s="39"/>
    </row>
    <row r="123" spans="7:7" ht="14.25" customHeight="1" x14ac:dyDescent="0.35">
      <c r="G123" s="39"/>
    </row>
    <row r="124" spans="7:7" ht="14.25" customHeight="1" x14ac:dyDescent="0.35">
      <c r="G124" s="39"/>
    </row>
    <row r="125" spans="7:7" ht="14.25" customHeight="1" x14ac:dyDescent="0.35">
      <c r="G125" s="39"/>
    </row>
    <row r="126" spans="7:7" ht="14.25" customHeight="1" x14ac:dyDescent="0.35">
      <c r="G126" s="39"/>
    </row>
    <row r="127" spans="7:7" ht="14.25" customHeight="1" x14ac:dyDescent="0.35">
      <c r="G127" s="39"/>
    </row>
    <row r="128" spans="7:7" ht="14.25" customHeight="1" x14ac:dyDescent="0.35">
      <c r="G128" s="39"/>
    </row>
    <row r="129" spans="7:7" ht="14.25" customHeight="1" x14ac:dyDescent="0.35">
      <c r="G129" s="39"/>
    </row>
    <row r="130" spans="7:7" ht="14.25" customHeight="1" x14ac:dyDescent="0.35">
      <c r="G130" s="39"/>
    </row>
    <row r="131" spans="7:7" ht="14.25" customHeight="1" x14ac:dyDescent="0.35">
      <c r="G131" s="39"/>
    </row>
    <row r="132" spans="7:7" ht="14.25" customHeight="1" x14ac:dyDescent="0.35">
      <c r="G132" s="39"/>
    </row>
    <row r="133" spans="7:7" ht="14.25" customHeight="1" x14ac:dyDescent="0.35">
      <c r="G133" s="39"/>
    </row>
    <row r="134" spans="7:7" ht="14.25" customHeight="1" x14ac:dyDescent="0.35">
      <c r="G134" s="39"/>
    </row>
    <row r="135" spans="7:7" ht="14.25" customHeight="1" x14ac:dyDescent="0.35">
      <c r="G135" s="39"/>
    </row>
    <row r="136" spans="7:7" ht="14.25" customHeight="1" x14ac:dyDescent="0.35">
      <c r="G136" s="39"/>
    </row>
    <row r="137" spans="7:7" ht="14.25" customHeight="1" x14ac:dyDescent="0.35">
      <c r="G137" s="39"/>
    </row>
    <row r="138" spans="7:7" ht="14.25" customHeight="1" x14ac:dyDescent="0.35">
      <c r="G138" s="39"/>
    </row>
    <row r="139" spans="7:7" ht="14.25" customHeight="1" x14ac:dyDescent="0.35">
      <c r="G139" s="39"/>
    </row>
    <row r="140" spans="7:7" ht="14.25" customHeight="1" x14ac:dyDescent="0.35">
      <c r="G140" s="39"/>
    </row>
    <row r="141" spans="7:7" ht="14.25" customHeight="1" x14ac:dyDescent="0.35">
      <c r="G141" s="39"/>
    </row>
    <row r="142" spans="7:7" ht="14.25" customHeight="1" x14ac:dyDescent="0.35">
      <c r="G142" s="39"/>
    </row>
    <row r="143" spans="7:7" ht="14.25" customHeight="1" x14ac:dyDescent="0.35">
      <c r="G143" s="39"/>
    </row>
    <row r="144" spans="7:7" ht="14.25" customHeight="1" x14ac:dyDescent="0.35">
      <c r="G144" s="39"/>
    </row>
    <row r="145" spans="7:7" ht="14.25" customHeight="1" x14ac:dyDescent="0.35">
      <c r="G145" s="39"/>
    </row>
    <row r="146" spans="7:7" ht="14.25" customHeight="1" x14ac:dyDescent="0.35">
      <c r="G146" s="39"/>
    </row>
    <row r="147" spans="7:7" ht="14.25" customHeight="1" x14ac:dyDescent="0.35">
      <c r="G147" s="39"/>
    </row>
    <row r="148" spans="7:7" ht="14.25" customHeight="1" x14ac:dyDescent="0.35">
      <c r="G148" s="39"/>
    </row>
    <row r="149" spans="7:7" ht="14.25" customHeight="1" x14ac:dyDescent="0.35">
      <c r="G149" s="39"/>
    </row>
    <row r="150" spans="7:7" ht="14.25" customHeight="1" x14ac:dyDescent="0.35">
      <c r="G150" s="39"/>
    </row>
    <row r="151" spans="7:7" ht="14.25" customHeight="1" x14ac:dyDescent="0.35">
      <c r="G151" s="39"/>
    </row>
    <row r="152" spans="7:7" ht="14.25" customHeight="1" x14ac:dyDescent="0.35">
      <c r="G152" s="39"/>
    </row>
    <row r="153" spans="7:7" ht="14.25" customHeight="1" x14ac:dyDescent="0.35">
      <c r="G153" s="39"/>
    </row>
    <row r="154" spans="7:7" ht="14.25" customHeight="1" x14ac:dyDescent="0.35">
      <c r="G154" s="39"/>
    </row>
    <row r="155" spans="7:7" ht="14.25" customHeight="1" x14ac:dyDescent="0.35">
      <c r="G155" s="39"/>
    </row>
    <row r="156" spans="7:7" ht="14.25" customHeight="1" x14ac:dyDescent="0.35">
      <c r="G156" s="39"/>
    </row>
    <row r="157" spans="7:7" ht="14.25" customHeight="1" x14ac:dyDescent="0.35">
      <c r="G157" s="39"/>
    </row>
    <row r="158" spans="7:7" ht="14.25" customHeight="1" x14ac:dyDescent="0.35">
      <c r="G158" s="39"/>
    </row>
    <row r="159" spans="7:7" ht="14.25" customHeight="1" x14ac:dyDescent="0.35">
      <c r="G159" s="39"/>
    </row>
    <row r="160" spans="7:7" ht="14.25" customHeight="1" x14ac:dyDescent="0.35">
      <c r="G160" s="39"/>
    </row>
    <row r="161" spans="7:7" ht="14.25" customHeight="1" x14ac:dyDescent="0.35">
      <c r="G161" s="39"/>
    </row>
    <row r="162" spans="7:7" ht="14.25" customHeight="1" x14ac:dyDescent="0.35">
      <c r="G162" s="39"/>
    </row>
    <row r="163" spans="7:7" ht="14.25" customHeight="1" x14ac:dyDescent="0.35">
      <c r="G163" s="39"/>
    </row>
    <row r="164" spans="7:7" ht="14.25" customHeight="1" x14ac:dyDescent="0.35">
      <c r="G164" s="39"/>
    </row>
    <row r="165" spans="7:7" ht="14.25" customHeight="1" x14ac:dyDescent="0.35">
      <c r="G165" s="39"/>
    </row>
    <row r="166" spans="7:7" ht="14.25" customHeight="1" x14ac:dyDescent="0.35">
      <c r="G166" s="39"/>
    </row>
    <row r="167" spans="7:7" ht="14.25" customHeight="1" x14ac:dyDescent="0.35">
      <c r="G167" s="39"/>
    </row>
    <row r="168" spans="7:7" ht="14.25" customHeight="1" x14ac:dyDescent="0.35">
      <c r="G168" s="39"/>
    </row>
    <row r="169" spans="7:7" ht="14.25" customHeight="1" x14ac:dyDescent="0.35">
      <c r="G169" s="39"/>
    </row>
    <row r="170" spans="7:7" ht="14.25" customHeight="1" x14ac:dyDescent="0.35">
      <c r="G170" s="39"/>
    </row>
    <row r="171" spans="7:7" ht="14.25" customHeight="1" x14ac:dyDescent="0.35">
      <c r="G171" s="39"/>
    </row>
    <row r="172" spans="7:7" ht="14.25" customHeight="1" x14ac:dyDescent="0.35">
      <c r="G172" s="39"/>
    </row>
    <row r="173" spans="7:7" ht="14.25" customHeight="1" x14ac:dyDescent="0.35">
      <c r="G173" s="39"/>
    </row>
    <row r="174" spans="7:7" ht="14.25" customHeight="1" x14ac:dyDescent="0.35">
      <c r="G174" s="39"/>
    </row>
    <row r="175" spans="7:7" ht="14.25" customHeight="1" x14ac:dyDescent="0.35">
      <c r="G175" s="39"/>
    </row>
    <row r="176" spans="7:7" ht="14.25" customHeight="1" x14ac:dyDescent="0.35">
      <c r="G176" s="39"/>
    </row>
    <row r="177" spans="7:7" ht="14.25" customHeight="1" x14ac:dyDescent="0.35">
      <c r="G177" s="39"/>
    </row>
    <row r="178" spans="7:7" ht="14.25" customHeight="1" x14ac:dyDescent="0.35">
      <c r="G178" s="39"/>
    </row>
    <row r="179" spans="7:7" ht="14.25" customHeight="1" x14ac:dyDescent="0.35">
      <c r="G179" s="39"/>
    </row>
    <row r="180" spans="7:7" ht="14.25" customHeight="1" x14ac:dyDescent="0.35">
      <c r="G180" s="39"/>
    </row>
    <row r="181" spans="7:7" ht="14.25" customHeight="1" x14ac:dyDescent="0.35">
      <c r="G181" s="39"/>
    </row>
    <row r="182" spans="7:7" ht="14.25" customHeight="1" x14ac:dyDescent="0.35">
      <c r="G182" s="39"/>
    </row>
    <row r="183" spans="7:7" ht="14.25" customHeight="1" x14ac:dyDescent="0.35">
      <c r="G183" s="39"/>
    </row>
    <row r="184" spans="7:7" ht="14.25" customHeight="1" x14ac:dyDescent="0.35">
      <c r="G184" s="39"/>
    </row>
    <row r="185" spans="7:7" ht="14.25" customHeight="1" x14ac:dyDescent="0.35">
      <c r="G185" s="39"/>
    </row>
    <row r="186" spans="7:7" ht="14.25" customHeight="1" x14ac:dyDescent="0.35">
      <c r="G186" s="39"/>
    </row>
    <row r="187" spans="7:7" ht="14.25" customHeight="1" x14ac:dyDescent="0.35">
      <c r="G187" s="39"/>
    </row>
    <row r="188" spans="7:7" ht="14.25" customHeight="1" x14ac:dyDescent="0.35">
      <c r="G188" s="39"/>
    </row>
    <row r="189" spans="7:7" ht="14.25" customHeight="1" x14ac:dyDescent="0.35">
      <c r="G189" s="39"/>
    </row>
    <row r="190" spans="7:7" ht="14.25" customHeight="1" x14ac:dyDescent="0.35">
      <c r="G190" s="39"/>
    </row>
    <row r="191" spans="7:7" ht="14.25" customHeight="1" x14ac:dyDescent="0.35">
      <c r="G191" s="39"/>
    </row>
    <row r="192" spans="7:7" ht="14.25" customHeight="1" x14ac:dyDescent="0.35">
      <c r="G192" s="39"/>
    </row>
    <row r="193" spans="7:7" ht="14.25" customHeight="1" x14ac:dyDescent="0.35">
      <c r="G193" s="39"/>
    </row>
    <row r="194" spans="7:7" ht="14.25" customHeight="1" x14ac:dyDescent="0.35">
      <c r="G194" s="39"/>
    </row>
    <row r="195" spans="7:7" ht="14.25" customHeight="1" x14ac:dyDescent="0.35">
      <c r="G195" s="39"/>
    </row>
    <row r="196" spans="7:7" ht="14.25" customHeight="1" x14ac:dyDescent="0.35">
      <c r="G196" s="39"/>
    </row>
    <row r="197" spans="7:7" ht="14.25" customHeight="1" x14ac:dyDescent="0.35">
      <c r="G197" s="39"/>
    </row>
    <row r="198" spans="7:7" ht="14.25" customHeight="1" x14ac:dyDescent="0.35">
      <c r="G198" s="39"/>
    </row>
    <row r="199" spans="7:7" ht="14.25" customHeight="1" x14ac:dyDescent="0.35">
      <c r="G199" s="39"/>
    </row>
    <row r="200" spans="7:7" ht="14.25" customHeight="1" x14ac:dyDescent="0.35">
      <c r="G200" s="39"/>
    </row>
    <row r="201" spans="7:7" ht="14.25" customHeight="1" x14ac:dyDescent="0.35">
      <c r="G201" s="39"/>
    </row>
    <row r="202" spans="7:7" ht="14.25" customHeight="1" x14ac:dyDescent="0.35">
      <c r="G202" s="39"/>
    </row>
    <row r="203" spans="7:7" ht="14.25" customHeight="1" x14ac:dyDescent="0.35">
      <c r="G203" s="39"/>
    </row>
    <row r="204" spans="7:7" ht="14.25" customHeight="1" x14ac:dyDescent="0.35">
      <c r="G204" s="39"/>
    </row>
    <row r="205" spans="7:7" ht="14.25" customHeight="1" x14ac:dyDescent="0.35">
      <c r="G205" s="39"/>
    </row>
    <row r="206" spans="7:7" ht="14.25" customHeight="1" x14ac:dyDescent="0.35">
      <c r="G206" s="39"/>
    </row>
    <row r="207" spans="7:7" ht="14.25" customHeight="1" x14ac:dyDescent="0.35">
      <c r="G207" s="39"/>
    </row>
    <row r="208" spans="7:7" ht="14.25" customHeight="1" x14ac:dyDescent="0.35">
      <c r="G208" s="39"/>
    </row>
    <row r="209" spans="7:7" ht="14.25" customHeight="1" x14ac:dyDescent="0.35">
      <c r="G209" s="39"/>
    </row>
    <row r="210" spans="7:7" ht="14.25" customHeight="1" x14ac:dyDescent="0.35">
      <c r="G210" s="39"/>
    </row>
    <row r="211" spans="7:7" ht="14.25" customHeight="1" x14ac:dyDescent="0.35">
      <c r="G211" s="39"/>
    </row>
    <row r="212" spans="7:7" ht="14.25" customHeight="1" x14ac:dyDescent="0.35">
      <c r="G212" s="39"/>
    </row>
    <row r="213" spans="7:7" ht="14.25" customHeight="1" x14ac:dyDescent="0.35">
      <c r="G213" s="39"/>
    </row>
    <row r="214" spans="7:7" ht="14.25" customHeight="1" x14ac:dyDescent="0.35">
      <c r="G214" s="39"/>
    </row>
    <row r="215" spans="7:7" ht="14.25" customHeight="1" x14ac:dyDescent="0.35">
      <c r="G215" s="39"/>
    </row>
    <row r="216" spans="7:7" ht="14.25" customHeight="1" x14ac:dyDescent="0.35">
      <c r="G216" s="39"/>
    </row>
    <row r="217" spans="7:7" ht="14.25" customHeight="1" x14ac:dyDescent="0.35">
      <c r="G217" s="39"/>
    </row>
    <row r="218" spans="7:7" ht="14.25" customHeight="1" x14ac:dyDescent="0.35">
      <c r="G218" s="39"/>
    </row>
    <row r="219" spans="7:7" ht="14.25" customHeight="1" x14ac:dyDescent="0.35">
      <c r="G219" s="39"/>
    </row>
    <row r="220" spans="7:7" ht="14.25" customHeight="1" x14ac:dyDescent="0.35">
      <c r="G220" s="39"/>
    </row>
    <row r="221" spans="7:7" ht="14.25" customHeight="1" x14ac:dyDescent="0.35">
      <c r="G221" s="39"/>
    </row>
    <row r="222" spans="7:7" ht="14.25" customHeight="1" x14ac:dyDescent="0.35">
      <c r="G222" s="39"/>
    </row>
    <row r="223" spans="7:7" ht="14.25" customHeight="1" x14ac:dyDescent="0.35">
      <c r="G223" s="39"/>
    </row>
    <row r="224" spans="7:7" ht="14.25" customHeight="1" x14ac:dyDescent="0.35">
      <c r="G224" s="39"/>
    </row>
    <row r="225" spans="7:7" ht="14.25" customHeight="1" x14ac:dyDescent="0.35">
      <c r="G225" s="39"/>
    </row>
    <row r="226" spans="7:7" ht="14.25" customHeight="1" x14ac:dyDescent="0.35">
      <c r="G226" s="39"/>
    </row>
    <row r="227" spans="7:7" ht="14.25" customHeight="1" x14ac:dyDescent="0.35">
      <c r="G227" s="39"/>
    </row>
    <row r="228" spans="7:7" ht="14.25" customHeight="1" x14ac:dyDescent="0.35">
      <c r="G228" s="39"/>
    </row>
    <row r="229" spans="7:7" ht="14.25" customHeight="1" x14ac:dyDescent="0.35">
      <c r="G229" s="39"/>
    </row>
    <row r="230" spans="7:7" ht="14.25" customHeight="1" x14ac:dyDescent="0.35">
      <c r="G230" s="39"/>
    </row>
    <row r="231" spans="7:7" ht="14.25" customHeight="1" x14ac:dyDescent="0.35">
      <c r="G231" s="39"/>
    </row>
    <row r="232" spans="7:7" ht="14.25" customHeight="1" x14ac:dyDescent="0.35">
      <c r="G232" s="39"/>
    </row>
    <row r="233" spans="7:7" ht="14.25" customHeight="1" x14ac:dyDescent="0.35">
      <c r="G233" s="39"/>
    </row>
    <row r="234" spans="7:7" ht="14.25" customHeight="1" x14ac:dyDescent="0.35">
      <c r="G234" s="39"/>
    </row>
    <row r="235" spans="7:7" ht="14.25" customHeight="1" x14ac:dyDescent="0.35">
      <c r="G235" s="39"/>
    </row>
    <row r="236" spans="7:7" ht="14.25" customHeight="1" x14ac:dyDescent="0.35">
      <c r="G236" s="39"/>
    </row>
    <row r="237" spans="7:7" ht="14.25" customHeight="1" x14ac:dyDescent="0.35">
      <c r="G237" s="39"/>
    </row>
    <row r="238" spans="7:7" ht="14.25" customHeight="1" x14ac:dyDescent="0.35">
      <c r="G238" s="39"/>
    </row>
    <row r="239" spans="7:7" ht="14.25" customHeight="1" x14ac:dyDescent="0.35">
      <c r="G239" s="39"/>
    </row>
    <row r="240" spans="7:7" ht="14.25" customHeight="1" x14ac:dyDescent="0.35">
      <c r="G240" s="39"/>
    </row>
    <row r="241" spans="7:7" ht="14.25" customHeight="1" x14ac:dyDescent="0.35">
      <c r="G241" s="39"/>
    </row>
    <row r="242" spans="7:7" ht="14.25" customHeight="1" x14ac:dyDescent="0.35">
      <c r="G242" s="39"/>
    </row>
    <row r="243" spans="7:7" ht="14.25" customHeight="1" x14ac:dyDescent="0.35">
      <c r="G243" s="39"/>
    </row>
    <row r="244" spans="7:7" ht="14.25" customHeight="1" x14ac:dyDescent="0.35">
      <c r="G244" s="39"/>
    </row>
    <row r="245" spans="7:7" ht="14.25" customHeight="1" x14ac:dyDescent="0.35">
      <c r="G245" s="39"/>
    </row>
    <row r="246" spans="7:7" ht="14.25" customHeight="1" x14ac:dyDescent="0.35">
      <c r="G246" s="39"/>
    </row>
    <row r="247" spans="7:7" ht="14.25" customHeight="1" x14ac:dyDescent="0.35">
      <c r="G247" s="39"/>
    </row>
    <row r="248" spans="7:7" ht="14.25" customHeight="1" x14ac:dyDescent="0.35">
      <c r="G248" s="39"/>
    </row>
    <row r="249" spans="7:7" ht="14.25" customHeight="1" x14ac:dyDescent="0.35">
      <c r="G249" s="39"/>
    </row>
    <row r="250" spans="7:7" ht="14.25" customHeight="1" x14ac:dyDescent="0.35">
      <c r="G250" s="39"/>
    </row>
    <row r="251" spans="7:7" ht="14.25" customHeight="1" x14ac:dyDescent="0.35">
      <c r="G251" s="39"/>
    </row>
    <row r="252" spans="7:7" ht="14.25" customHeight="1" x14ac:dyDescent="0.35">
      <c r="G252" s="39"/>
    </row>
    <row r="253" spans="7:7" ht="14.25" customHeight="1" x14ac:dyDescent="0.35">
      <c r="G253" s="39"/>
    </row>
    <row r="254" spans="7:7" ht="14.25" customHeight="1" x14ac:dyDescent="0.35">
      <c r="G254" s="39"/>
    </row>
    <row r="255" spans="7:7" ht="14.25" customHeight="1" x14ac:dyDescent="0.35">
      <c r="G255" s="39"/>
    </row>
    <row r="256" spans="7:7" ht="14.25" customHeight="1" x14ac:dyDescent="0.35">
      <c r="G256" s="39"/>
    </row>
    <row r="257" spans="7:7" ht="14.25" customHeight="1" x14ac:dyDescent="0.35">
      <c r="G257" s="39"/>
    </row>
    <row r="258" spans="7:7" ht="14.25" customHeight="1" x14ac:dyDescent="0.35">
      <c r="G258" s="39"/>
    </row>
    <row r="259" spans="7:7" ht="14.25" customHeight="1" x14ac:dyDescent="0.35">
      <c r="G259" s="39"/>
    </row>
    <row r="260" spans="7:7" ht="14.25" customHeight="1" x14ac:dyDescent="0.35">
      <c r="G260" s="39"/>
    </row>
    <row r="261" spans="7:7" ht="14.25" customHeight="1" x14ac:dyDescent="0.35">
      <c r="G261" s="39"/>
    </row>
    <row r="262" spans="7:7" ht="14.25" customHeight="1" x14ac:dyDescent="0.35">
      <c r="G262" s="39"/>
    </row>
    <row r="263" spans="7:7" ht="14.25" customHeight="1" x14ac:dyDescent="0.35">
      <c r="G263" s="39"/>
    </row>
    <row r="264" spans="7:7" ht="14.25" customHeight="1" x14ac:dyDescent="0.35">
      <c r="G264" s="39"/>
    </row>
    <row r="265" spans="7:7" ht="14.25" customHeight="1" x14ac:dyDescent="0.35">
      <c r="G265" s="39"/>
    </row>
    <row r="266" spans="7:7" ht="14.25" customHeight="1" x14ac:dyDescent="0.35">
      <c r="G266" s="39"/>
    </row>
    <row r="267" spans="7:7" ht="14.25" customHeight="1" x14ac:dyDescent="0.35">
      <c r="G267" s="39"/>
    </row>
    <row r="268" spans="7:7" ht="14.25" customHeight="1" x14ac:dyDescent="0.35">
      <c r="G268" s="39"/>
    </row>
    <row r="269" spans="7:7" ht="14.25" customHeight="1" x14ac:dyDescent="0.35">
      <c r="G269" s="39"/>
    </row>
    <row r="270" spans="7:7" ht="14.25" customHeight="1" x14ac:dyDescent="0.35">
      <c r="G270" s="39"/>
    </row>
    <row r="271" spans="7:7" ht="14.25" customHeight="1" x14ac:dyDescent="0.35">
      <c r="G271" s="39"/>
    </row>
    <row r="272" spans="7:7" ht="14.25" customHeight="1" x14ac:dyDescent="0.35">
      <c r="G272" s="39"/>
    </row>
    <row r="273" spans="7:7" ht="14.25" customHeight="1" x14ac:dyDescent="0.35">
      <c r="G273" s="39"/>
    </row>
    <row r="274" spans="7:7" ht="14.25" customHeight="1" x14ac:dyDescent="0.35">
      <c r="G274" s="39"/>
    </row>
    <row r="275" spans="7:7" ht="14.25" customHeight="1" x14ac:dyDescent="0.35">
      <c r="G275" s="39"/>
    </row>
    <row r="276" spans="7:7" ht="14.25" customHeight="1" x14ac:dyDescent="0.35">
      <c r="G276" s="39"/>
    </row>
    <row r="277" spans="7:7" ht="14.25" customHeight="1" x14ac:dyDescent="0.35">
      <c r="G277" s="39"/>
    </row>
    <row r="278" spans="7:7" ht="14.25" customHeight="1" x14ac:dyDescent="0.35">
      <c r="G278" s="39"/>
    </row>
    <row r="279" spans="7:7" ht="14.25" customHeight="1" x14ac:dyDescent="0.35">
      <c r="G279" s="39"/>
    </row>
    <row r="280" spans="7:7" ht="14.25" customHeight="1" x14ac:dyDescent="0.35">
      <c r="G280" s="39"/>
    </row>
    <row r="281" spans="7:7" ht="14.25" customHeight="1" x14ac:dyDescent="0.35">
      <c r="G281" s="39"/>
    </row>
    <row r="282" spans="7:7" ht="14.25" customHeight="1" x14ac:dyDescent="0.35">
      <c r="G282" s="39"/>
    </row>
    <row r="283" spans="7:7" ht="14.25" customHeight="1" x14ac:dyDescent="0.35">
      <c r="G283" s="39"/>
    </row>
    <row r="284" spans="7:7" ht="14.25" customHeight="1" x14ac:dyDescent="0.35">
      <c r="G284" s="39"/>
    </row>
    <row r="285" spans="7:7" ht="14.25" customHeight="1" x14ac:dyDescent="0.35">
      <c r="G285" s="39"/>
    </row>
    <row r="286" spans="7:7" ht="14.25" customHeight="1" x14ac:dyDescent="0.35">
      <c r="G286" s="39"/>
    </row>
    <row r="287" spans="7:7" ht="14.25" customHeight="1" x14ac:dyDescent="0.35">
      <c r="G287" s="39"/>
    </row>
    <row r="288" spans="7:7" ht="14.25" customHeight="1" x14ac:dyDescent="0.35">
      <c r="G288" s="39"/>
    </row>
    <row r="289" spans="7:7" ht="14.25" customHeight="1" x14ac:dyDescent="0.35">
      <c r="G289" s="39"/>
    </row>
    <row r="290" spans="7:7" ht="14.25" customHeight="1" x14ac:dyDescent="0.35">
      <c r="G290" s="39"/>
    </row>
    <row r="291" spans="7:7" ht="14.25" customHeight="1" x14ac:dyDescent="0.35">
      <c r="G291" s="39"/>
    </row>
    <row r="292" spans="7:7" ht="14.25" customHeight="1" x14ac:dyDescent="0.35">
      <c r="G292" s="39"/>
    </row>
    <row r="293" spans="7:7" ht="14.25" customHeight="1" x14ac:dyDescent="0.35">
      <c r="G293" s="39"/>
    </row>
    <row r="294" spans="7:7" ht="14.25" customHeight="1" x14ac:dyDescent="0.35">
      <c r="G294" s="39"/>
    </row>
    <row r="295" spans="7:7" ht="14.25" customHeight="1" x14ac:dyDescent="0.35">
      <c r="G295" s="39"/>
    </row>
    <row r="296" spans="7:7" ht="14.25" customHeight="1" x14ac:dyDescent="0.35">
      <c r="G296" s="39"/>
    </row>
    <row r="297" spans="7:7" ht="14.25" customHeight="1" x14ac:dyDescent="0.35">
      <c r="G297" s="39"/>
    </row>
    <row r="298" spans="7:7" ht="14.25" customHeight="1" x14ac:dyDescent="0.35">
      <c r="G298" s="39"/>
    </row>
    <row r="299" spans="7:7" ht="14.25" customHeight="1" x14ac:dyDescent="0.35">
      <c r="G299" s="39"/>
    </row>
    <row r="300" spans="7:7" ht="14.25" customHeight="1" x14ac:dyDescent="0.35">
      <c r="G300" s="39"/>
    </row>
    <row r="301" spans="7:7" ht="14.25" customHeight="1" x14ac:dyDescent="0.35">
      <c r="G301" s="39"/>
    </row>
    <row r="302" spans="7:7" ht="14.25" customHeight="1" x14ac:dyDescent="0.35">
      <c r="G302" s="39"/>
    </row>
    <row r="303" spans="7:7" ht="14.25" customHeight="1" x14ac:dyDescent="0.35">
      <c r="G303" s="39"/>
    </row>
    <row r="304" spans="7:7" ht="14.25" customHeight="1" x14ac:dyDescent="0.35">
      <c r="G304" s="39"/>
    </row>
    <row r="305" spans="7:7" ht="14.25" customHeight="1" x14ac:dyDescent="0.35">
      <c r="G305" s="39"/>
    </row>
    <row r="306" spans="7:7" ht="14.25" customHeight="1" x14ac:dyDescent="0.35">
      <c r="G306" s="39"/>
    </row>
    <row r="307" spans="7:7" ht="14.25" customHeight="1" x14ac:dyDescent="0.35">
      <c r="G307" s="39"/>
    </row>
    <row r="308" spans="7:7" ht="14.25" customHeight="1" x14ac:dyDescent="0.35">
      <c r="G308" s="39"/>
    </row>
    <row r="309" spans="7:7" ht="14.25" customHeight="1" x14ac:dyDescent="0.35">
      <c r="G309" s="39"/>
    </row>
    <row r="310" spans="7:7" ht="14.25" customHeight="1" x14ac:dyDescent="0.35">
      <c r="G310" s="39"/>
    </row>
    <row r="311" spans="7:7" ht="14.25" customHeight="1" x14ac:dyDescent="0.35">
      <c r="G311" s="39"/>
    </row>
    <row r="312" spans="7:7" ht="14.25" customHeight="1" x14ac:dyDescent="0.35">
      <c r="G312" s="39"/>
    </row>
    <row r="313" spans="7:7" ht="14.25" customHeight="1" x14ac:dyDescent="0.35">
      <c r="G313" s="39"/>
    </row>
    <row r="314" spans="7:7" ht="14.25" customHeight="1" x14ac:dyDescent="0.35">
      <c r="G314" s="39"/>
    </row>
    <row r="315" spans="7:7" ht="14.25" customHeight="1" x14ac:dyDescent="0.35">
      <c r="G315" s="39"/>
    </row>
    <row r="316" spans="7:7" ht="14.25" customHeight="1" x14ac:dyDescent="0.35">
      <c r="G316" s="39"/>
    </row>
    <row r="317" spans="7:7" ht="14.25" customHeight="1" x14ac:dyDescent="0.35">
      <c r="G317" s="39"/>
    </row>
    <row r="318" spans="7:7" ht="14.25" customHeight="1" x14ac:dyDescent="0.35">
      <c r="G318" s="39"/>
    </row>
    <row r="319" spans="7:7" ht="14.25" customHeight="1" x14ac:dyDescent="0.35">
      <c r="G319" s="39"/>
    </row>
    <row r="320" spans="7:7" ht="14.25" customHeight="1" x14ac:dyDescent="0.35">
      <c r="G320" s="39"/>
    </row>
    <row r="321" spans="7:7" ht="14.25" customHeight="1" x14ac:dyDescent="0.35">
      <c r="G321" s="39"/>
    </row>
    <row r="322" spans="7:7" ht="14.25" customHeight="1" x14ac:dyDescent="0.35">
      <c r="G322" s="39"/>
    </row>
    <row r="323" spans="7:7" ht="14.25" customHeight="1" x14ac:dyDescent="0.35">
      <c r="G323" s="39"/>
    </row>
    <row r="324" spans="7:7" ht="14.25" customHeight="1" x14ac:dyDescent="0.35">
      <c r="G324" s="39"/>
    </row>
    <row r="325" spans="7:7" ht="14.25" customHeight="1" x14ac:dyDescent="0.35">
      <c r="G325" s="39"/>
    </row>
    <row r="326" spans="7:7" ht="14.25" customHeight="1" x14ac:dyDescent="0.35">
      <c r="G326" s="39"/>
    </row>
    <row r="327" spans="7:7" ht="14.25" customHeight="1" x14ac:dyDescent="0.35">
      <c r="G327" s="39"/>
    </row>
    <row r="328" spans="7:7" ht="14.25" customHeight="1" x14ac:dyDescent="0.35">
      <c r="G328" s="39"/>
    </row>
    <row r="329" spans="7:7" ht="14.25" customHeight="1" x14ac:dyDescent="0.35">
      <c r="G329" s="39"/>
    </row>
    <row r="330" spans="7:7" ht="14.25" customHeight="1" x14ac:dyDescent="0.35">
      <c r="G330" s="39"/>
    </row>
    <row r="331" spans="7:7" ht="14.25" customHeight="1" x14ac:dyDescent="0.35">
      <c r="G331" s="39"/>
    </row>
    <row r="332" spans="7:7" ht="14.25" customHeight="1" x14ac:dyDescent="0.35">
      <c r="G332" s="39"/>
    </row>
    <row r="333" spans="7:7" ht="14.25" customHeight="1" x14ac:dyDescent="0.35">
      <c r="G333" s="39"/>
    </row>
    <row r="334" spans="7:7" ht="14.25" customHeight="1" x14ac:dyDescent="0.35">
      <c r="G334" s="39"/>
    </row>
    <row r="335" spans="7:7" ht="14.25" customHeight="1" x14ac:dyDescent="0.35">
      <c r="G335" s="39"/>
    </row>
    <row r="336" spans="7:7" ht="14.25" customHeight="1" x14ac:dyDescent="0.35">
      <c r="G336" s="39"/>
    </row>
    <row r="337" spans="7:7" ht="14.25" customHeight="1" x14ac:dyDescent="0.35">
      <c r="G337" s="39"/>
    </row>
    <row r="338" spans="7:7" ht="14.25" customHeight="1" x14ac:dyDescent="0.35">
      <c r="G338" s="39"/>
    </row>
    <row r="339" spans="7:7" ht="14.25" customHeight="1" x14ac:dyDescent="0.35">
      <c r="G339" s="39"/>
    </row>
    <row r="340" spans="7:7" ht="14.25" customHeight="1" x14ac:dyDescent="0.35">
      <c r="G340" s="39"/>
    </row>
    <row r="341" spans="7:7" ht="14.25" customHeight="1" x14ac:dyDescent="0.35">
      <c r="G341" s="39"/>
    </row>
    <row r="342" spans="7:7" ht="14.25" customHeight="1" x14ac:dyDescent="0.35">
      <c r="G342" s="39"/>
    </row>
    <row r="343" spans="7:7" ht="14.25" customHeight="1" x14ac:dyDescent="0.35">
      <c r="G343" s="39"/>
    </row>
    <row r="344" spans="7:7" ht="14.25" customHeight="1" x14ac:dyDescent="0.35">
      <c r="G344" s="39"/>
    </row>
    <row r="345" spans="7:7" ht="14.25" customHeight="1" x14ac:dyDescent="0.35">
      <c r="G345" s="39"/>
    </row>
    <row r="346" spans="7:7" ht="14.25" customHeight="1" x14ac:dyDescent="0.35">
      <c r="G346" s="39"/>
    </row>
    <row r="347" spans="7:7" ht="14.25" customHeight="1" x14ac:dyDescent="0.35">
      <c r="G347" s="39"/>
    </row>
    <row r="348" spans="7:7" ht="14.25" customHeight="1" x14ac:dyDescent="0.35">
      <c r="G348" s="39"/>
    </row>
    <row r="349" spans="7:7" ht="14.25" customHeight="1" x14ac:dyDescent="0.35">
      <c r="G349" s="39"/>
    </row>
    <row r="350" spans="7:7" ht="14.25" customHeight="1" x14ac:dyDescent="0.35">
      <c r="G350" s="39"/>
    </row>
    <row r="351" spans="7:7" ht="14.25" customHeight="1" x14ac:dyDescent="0.35">
      <c r="G351" s="39"/>
    </row>
    <row r="352" spans="7:7" ht="14.25" customHeight="1" x14ac:dyDescent="0.35">
      <c r="G352" s="39"/>
    </row>
    <row r="353" spans="7:7" ht="14.25" customHeight="1" x14ac:dyDescent="0.35">
      <c r="G353" s="39"/>
    </row>
    <row r="354" spans="7:7" ht="14.25" customHeight="1" x14ac:dyDescent="0.35">
      <c r="G354" s="39"/>
    </row>
    <row r="355" spans="7:7" ht="14.25" customHeight="1" x14ac:dyDescent="0.35">
      <c r="G355" s="39"/>
    </row>
    <row r="356" spans="7:7" ht="14.25" customHeight="1" x14ac:dyDescent="0.35">
      <c r="G356" s="39"/>
    </row>
    <row r="357" spans="7:7" ht="14.25" customHeight="1" x14ac:dyDescent="0.35">
      <c r="G357" s="39"/>
    </row>
    <row r="358" spans="7:7" ht="14.25" customHeight="1" x14ac:dyDescent="0.35">
      <c r="G358" s="39"/>
    </row>
    <row r="359" spans="7:7" ht="14.25" customHeight="1" x14ac:dyDescent="0.35">
      <c r="G359" s="39"/>
    </row>
    <row r="360" spans="7:7" ht="14.25" customHeight="1" x14ac:dyDescent="0.35">
      <c r="G360" s="39"/>
    </row>
    <row r="361" spans="7:7" ht="14.25" customHeight="1" x14ac:dyDescent="0.35">
      <c r="G361" s="39"/>
    </row>
    <row r="362" spans="7:7" ht="14.25" customHeight="1" x14ac:dyDescent="0.35">
      <c r="G362" s="39"/>
    </row>
    <row r="363" spans="7:7" ht="14.25" customHeight="1" x14ac:dyDescent="0.35">
      <c r="G363" s="39"/>
    </row>
    <row r="364" spans="7:7" ht="14.25" customHeight="1" x14ac:dyDescent="0.35">
      <c r="G364" s="39"/>
    </row>
    <row r="365" spans="7:7" ht="14.25" customHeight="1" x14ac:dyDescent="0.35">
      <c r="G365" s="39"/>
    </row>
    <row r="366" spans="7:7" ht="14.25" customHeight="1" x14ac:dyDescent="0.35">
      <c r="G366" s="39"/>
    </row>
    <row r="367" spans="7:7" ht="14.25" customHeight="1" x14ac:dyDescent="0.35">
      <c r="G367" s="39"/>
    </row>
    <row r="368" spans="7:7" ht="14.25" customHeight="1" x14ac:dyDescent="0.35">
      <c r="G368" s="39"/>
    </row>
    <row r="369" spans="7:7" ht="14.25" customHeight="1" x14ac:dyDescent="0.35">
      <c r="G369" s="39"/>
    </row>
    <row r="370" spans="7:7" ht="14.25" customHeight="1" x14ac:dyDescent="0.35">
      <c r="G370" s="39"/>
    </row>
    <row r="371" spans="7:7" ht="14.25" customHeight="1" x14ac:dyDescent="0.35">
      <c r="G371" s="39"/>
    </row>
    <row r="372" spans="7:7" ht="14.25" customHeight="1" x14ac:dyDescent="0.35">
      <c r="G372" s="39"/>
    </row>
    <row r="373" spans="7:7" ht="14.25" customHeight="1" x14ac:dyDescent="0.35">
      <c r="G373" s="39"/>
    </row>
    <row r="374" spans="7:7" ht="14.25" customHeight="1" x14ac:dyDescent="0.35">
      <c r="G374" s="39"/>
    </row>
    <row r="375" spans="7:7" ht="14.25" customHeight="1" x14ac:dyDescent="0.35">
      <c r="G375" s="39"/>
    </row>
    <row r="376" spans="7:7" ht="14.25" customHeight="1" x14ac:dyDescent="0.35">
      <c r="G376" s="39"/>
    </row>
    <row r="377" spans="7:7" ht="14.25" customHeight="1" x14ac:dyDescent="0.35">
      <c r="G377" s="39"/>
    </row>
    <row r="378" spans="7:7" ht="14.25" customHeight="1" x14ac:dyDescent="0.35">
      <c r="G378" s="39"/>
    </row>
    <row r="379" spans="7:7" ht="14.25" customHeight="1" x14ac:dyDescent="0.35">
      <c r="G379" s="39"/>
    </row>
    <row r="380" spans="7:7" ht="14.25" customHeight="1" x14ac:dyDescent="0.35">
      <c r="G380" s="39"/>
    </row>
    <row r="381" spans="7:7" ht="14.25" customHeight="1" x14ac:dyDescent="0.35">
      <c r="G381" s="39"/>
    </row>
    <row r="382" spans="7:7" ht="14.25" customHeight="1" x14ac:dyDescent="0.35">
      <c r="G382" s="39"/>
    </row>
    <row r="383" spans="7:7" ht="14.25" customHeight="1" x14ac:dyDescent="0.35">
      <c r="G383" s="39"/>
    </row>
    <row r="384" spans="7:7" ht="14.25" customHeight="1" x14ac:dyDescent="0.35">
      <c r="G384" s="39"/>
    </row>
    <row r="385" spans="7:7" ht="14.25" customHeight="1" x14ac:dyDescent="0.35">
      <c r="G385" s="39"/>
    </row>
    <row r="386" spans="7:7" ht="14.25" customHeight="1" x14ac:dyDescent="0.35">
      <c r="G386" s="39"/>
    </row>
    <row r="387" spans="7:7" ht="14.25" customHeight="1" x14ac:dyDescent="0.35">
      <c r="G387" s="39"/>
    </row>
    <row r="388" spans="7:7" ht="14.25" customHeight="1" x14ac:dyDescent="0.35">
      <c r="G388" s="39"/>
    </row>
    <row r="389" spans="7:7" ht="14.25" customHeight="1" x14ac:dyDescent="0.35">
      <c r="G389" s="39"/>
    </row>
    <row r="390" spans="7:7" ht="14.25" customHeight="1" x14ac:dyDescent="0.35">
      <c r="G390" s="39"/>
    </row>
    <row r="391" spans="7:7" ht="14.25" customHeight="1" x14ac:dyDescent="0.35">
      <c r="G391" s="39"/>
    </row>
    <row r="392" spans="7:7" ht="14.25" customHeight="1" x14ac:dyDescent="0.35">
      <c r="G392" s="39"/>
    </row>
    <row r="393" spans="7:7" ht="14.25" customHeight="1" x14ac:dyDescent="0.35">
      <c r="G393" s="39"/>
    </row>
    <row r="394" spans="7:7" ht="14.25" customHeight="1" x14ac:dyDescent="0.35">
      <c r="G394" s="39"/>
    </row>
    <row r="395" spans="7:7" ht="14.25" customHeight="1" x14ac:dyDescent="0.35">
      <c r="G395" s="39"/>
    </row>
    <row r="396" spans="7:7" ht="14.25" customHeight="1" x14ac:dyDescent="0.35">
      <c r="G396" s="39"/>
    </row>
    <row r="397" spans="7:7" ht="14.25" customHeight="1" x14ac:dyDescent="0.35">
      <c r="G397" s="39"/>
    </row>
    <row r="398" spans="7:7" ht="14.25" customHeight="1" x14ac:dyDescent="0.35">
      <c r="G398" s="39"/>
    </row>
    <row r="399" spans="7:7" ht="14.25" customHeight="1" x14ac:dyDescent="0.35">
      <c r="G399" s="39"/>
    </row>
    <row r="400" spans="7:7" ht="14.25" customHeight="1" x14ac:dyDescent="0.35">
      <c r="G400" s="39"/>
    </row>
    <row r="401" spans="7:7" ht="14.25" customHeight="1" x14ac:dyDescent="0.35">
      <c r="G401" s="39"/>
    </row>
    <row r="402" spans="7:7" ht="14.25" customHeight="1" x14ac:dyDescent="0.35">
      <c r="G402" s="39"/>
    </row>
    <row r="403" spans="7:7" ht="14.25" customHeight="1" x14ac:dyDescent="0.35">
      <c r="G403" s="39"/>
    </row>
    <row r="404" spans="7:7" ht="14.25" customHeight="1" x14ac:dyDescent="0.35">
      <c r="G404" s="39"/>
    </row>
    <row r="405" spans="7:7" ht="14.25" customHeight="1" x14ac:dyDescent="0.35">
      <c r="G405" s="39"/>
    </row>
    <row r="406" spans="7:7" ht="14.25" customHeight="1" x14ac:dyDescent="0.35">
      <c r="G406" s="39"/>
    </row>
    <row r="407" spans="7:7" ht="14.25" customHeight="1" x14ac:dyDescent="0.35">
      <c r="G407" s="39"/>
    </row>
    <row r="408" spans="7:7" ht="14.25" customHeight="1" x14ac:dyDescent="0.35">
      <c r="G408" s="39"/>
    </row>
    <row r="409" spans="7:7" ht="14.25" customHeight="1" x14ac:dyDescent="0.35">
      <c r="G409" s="39"/>
    </row>
    <row r="410" spans="7:7" ht="14.25" customHeight="1" x14ac:dyDescent="0.35">
      <c r="G410" s="39"/>
    </row>
    <row r="411" spans="7:7" ht="14.25" customHeight="1" x14ac:dyDescent="0.35">
      <c r="G411" s="39"/>
    </row>
    <row r="412" spans="7:7" ht="14.25" customHeight="1" x14ac:dyDescent="0.35">
      <c r="G412" s="39"/>
    </row>
    <row r="413" spans="7:7" ht="14.25" customHeight="1" x14ac:dyDescent="0.35">
      <c r="G413" s="39"/>
    </row>
    <row r="414" spans="7:7" ht="14.25" customHeight="1" x14ac:dyDescent="0.35">
      <c r="G414" s="39"/>
    </row>
    <row r="415" spans="7:7" ht="14.25" customHeight="1" x14ac:dyDescent="0.35">
      <c r="G415" s="39"/>
    </row>
    <row r="416" spans="7:7" ht="14.25" customHeight="1" x14ac:dyDescent="0.35">
      <c r="G416" s="39"/>
    </row>
    <row r="417" spans="7:7" ht="14.25" customHeight="1" x14ac:dyDescent="0.35">
      <c r="G417" s="39"/>
    </row>
    <row r="418" spans="7:7" ht="14.25" customHeight="1" x14ac:dyDescent="0.35">
      <c r="G418" s="39"/>
    </row>
    <row r="419" spans="7:7" ht="14.25" customHeight="1" x14ac:dyDescent="0.35">
      <c r="G419" s="39"/>
    </row>
    <row r="420" spans="7:7" ht="14.25" customHeight="1" x14ac:dyDescent="0.35">
      <c r="G420" s="39"/>
    </row>
    <row r="421" spans="7:7" ht="14.25" customHeight="1" x14ac:dyDescent="0.35">
      <c r="G421" s="39"/>
    </row>
    <row r="422" spans="7:7" ht="14.25" customHeight="1" x14ac:dyDescent="0.35">
      <c r="G422" s="39"/>
    </row>
    <row r="423" spans="7:7" ht="14.25" customHeight="1" x14ac:dyDescent="0.35">
      <c r="G423" s="39"/>
    </row>
    <row r="424" spans="7:7" ht="14.25" customHeight="1" x14ac:dyDescent="0.35">
      <c r="G424" s="39"/>
    </row>
    <row r="425" spans="7:7" ht="14.25" customHeight="1" x14ac:dyDescent="0.35">
      <c r="G425" s="39"/>
    </row>
    <row r="426" spans="7:7" ht="14.25" customHeight="1" x14ac:dyDescent="0.35">
      <c r="G426" s="39"/>
    </row>
    <row r="427" spans="7:7" ht="14.25" customHeight="1" x14ac:dyDescent="0.35">
      <c r="G427" s="39"/>
    </row>
    <row r="428" spans="7:7" ht="14.25" customHeight="1" x14ac:dyDescent="0.35">
      <c r="G428" s="39"/>
    </row>
    <row r="429" spans="7:7" ht="14.25" customHeight="1" x14ac:dyDescent="0.35">
      <c r="G429" s="39"/>
    </row>
    <row r="430" spans="7:7" ht="14.25" customHeight="1" x14ac:dyDescent="0.35">
      <c r="G430" s="39"/>
    </row>
    <row r="431" spans="7:7" ht="14.25" customHeight="1" x14ac:dyDescent="0.35">
      <c r="G431" s="39"/>
    </row>
    <row r="432" spans="7:7" ht="14.25" customHeight="1" x14ac:dyDescent="0.35">
      <c r="G432" s="39"/>
    </row>
    <row r="433" spans="7:7" ht="14.25" customHeight="1" x14ac:dyDescent="0.35">
      <c r="G433" s="39"/>
    </row>
    <row r="434" spans="7:7" ht="14.25" customHeight="1" x14ac:dyDescent="0.35">
      <c r="G434" s="39"/>
    </row>
    <row r="435" spans="7:7" ht="14.25" customHeight="1" x14ac:dyDescent="0.35">
      <c r="G435" s="39"/>
    </row>
    <row r="436" spans="7:7" ht="14.25" customHeight="1" x14ac:dyDescent="0.35">
      <c r="G436" s="39"/>
    </row>
    <row r="437" spans="7:7" ht="14.25" customHeight="1" x14ac:dyDescent="0.35">
      <c r="G437" s="39"/>
    </row>
    <row r="438" spans="7:7" ht="14.25" customHeight="1" x14ac:dyDescent="0.35">
      <c r="G438" s="39"/>
    </row>
    <row r="439" spans="7:7" ht="14.25" customHeight="1" x14ac:dyDescent="0.35">
      <c r="G439" s="39"/>
    </row>
    <row r="440" spans="7:7" ht="14.25" customHeight="1" x14ac:dyDescent="0.35">
      <c r="G440" s="39"/>
    </row>
    <row r="441" spans="7:7" ht="14.25" customHeight="1" x14ac:dyDescent="0.35">
      <c r="G441" s="39"/>
    </row>
    <row r="442" spans="7:7" ht="14.25" customHeight="1" x14ac:dyDescent="0.35">
      <c r="G442" s="39"/>
    </row>
    <row r="443" spans="7:7" ht="14.25" customHeight="1" x14ac:dyDescent="0.35">
      <c r="G443" s="39"/>
    </row>
    <row r="444" spans="7:7" ht="14.25" customHeight="1" x14ac:dyDescent="0.35">
      <c r="G444" s="39"/>
    </row>
    <row r="445" spans="7:7" ht="14.25" customHeight="1" x14ac:dyDescent="0.35">
      <c r="G445" s="39"/>
    </row>
    <row r="446" spans="7:7" ht="14.25" customHeight="1" x14ac:dyDescent="0.35">
      <c r="G446" s="39"/>
    </row>
    <row r="447" spans="7:7" ht="14.25" customHeight="1" x14ac:dyDescent="0.35">
      <c r="G447" s="39"/>
    </row>
    <row r="448" spans="7:7" ht="14.25" customHeight="1" x14ac:dyDescent="0.35">
      <c r="G448" s="39"/>
    </row>
    <row r="449" spans="7:7" ht="14.25" customHeight="1" x14ac:dyDescent="0.35">
      <c r="G449" s="39"/>
    </row>
    <row r="450" spans="7:7" ht="14.25" customHeight="1" x14ac:dyDescent="0.35">
      <c r="G450" s="39"/>
    </row>
    <row r="451" spans="7:7" ht="14.25" customHeight="1" x14ac:dyDescent="0.35">
      <c r="G451" s="39"/>
    </row>
    <row r="452" spans="7:7" ht="14.25" customHeight="1" x14ac:dyDescent="0.35">
      <c r="G452" s="39"/>
    </row>
    <row r="453" spans="7:7" ht="14.25" customHeight="1" x14ac:dyDescent="0.35">
      <c r="G453" s="39"/>
    </row>
    <row r="454" spans="7:7" ht="14.25" customHeight="1" x14ac:dyDescent="0.35">
      <c r="G454" s="39"/>
    </row>
    <row r="455" spans="7:7" ht="14.25" customHeight="1" x14ac:dyDescent="0.35">
      <c r="G455" s="39"/>
    </row>
    <row r="456" spans="7:7" ht="14.25" customHeight="1" x14ac:dyDescent="0.35">
      <c r="G456" s="39"/>
    </row>
    <row r="457" spans="7:7" ht="14.25" customHeight="1" x14ac:dyDescent="0.35">
      <c r="G457" s="39"/>
    </row>
    <row r="458" spans="7:7" ht="14.25" customHeight="1" x14ac:dyDescent="0.35">
      <c r="G458" s="39"/>
    </row>
    <row r="459" spans="7:7" ht="14.25" customHeight="1" x14ac:dyDescent="0.35">
      <c r="G459" s="39"/>
    </row>
    <row r="460" spans="7:7" ht="14.25" customHeight="1" x14ac:dyDescent="0.35">
      <c r="G460" s="39"/>
    </row>
    <row r="461" spans="7:7" ht="14.25" customHeight="1" x14ac:dyDescent="0.35">
      <c r="G461" s="39"/>
    </row>
    <row r="462" spans="7:7" ht="14.25" customHeight="1" x14ac:dyDescent="0.35">
      <c r="G462" s="39"/>
    </row>
    <row r="463" spans="7:7" ht="14.25" customHeight="1" x14ac:dyDescent="0.35">
      <c r="G463" s="39"/>
    </row>
    <row r="464" spans="7:7" ht="14.25" customHeight="1" x14ac:dyDescent="0.35">
      <c r="G464" s="39"/>
    </row>
    <row r="465" spans="7:7" ht="14.25" customHeight="1" x14ac:dyDescent="0.35">
      <c r="G465" s="39"/>
    </row>
    <row r="466" spans="7:7" ht="14.25" customHeight="1" x14ac:dyDescent="0.35">
      <c r="G466" s="39"/>
    </row>
    <row r="467" spans="7:7" ht="14.25" customHeight="1" x14ac:dyDescent="0.35">
      <c r="G467" s="39"/>
    </row>
    <row r="468" spans="7:7" ht="14.25" customHeight="1" x14ac:dyDescent="0.35">
      <c r="G468" s="39"/>
    </row>
    <row r="469" spans="7:7" ht="14.25" customHeight="1" x14ac:dyDescent="0.35">
      <c r="G469" s="39"/>
    </row>
    <row r="470" spans="7:7" ht="14.25" customHeight="1" x14ac:dyDescent="0.35">
      <c r="G470" s="39"/>
    </row>
    <row r="471" spans="7:7" ht="14.25" customHeight="1" x14ac:dyDescent="0.35">
      <c r="G471" s="39"/>
    </row>
    <row r="472" spans="7:7" ht="14.25" customHeight="1" x14ac:dyDescent="0.35">
      <c r="G472" s="39"/>
    </row>
    <row r="473" spans="7:7" ht="14.25" customHeight="1" x14ac:dyDescent="0.35">
      <c r="G473" s="39"/>
    </row>
    <row r="474" spans="7:7" ht="14.25" customHeight="1" x14ac:dyDescent="0.35">
      <c r="G474" s="39"/>
    </row>
    <row r="475" spans="7:7" ht="14.25" customHeight="1" x14ac:dyDescent="0.35">
      <c r="G475" s="39"/>
    </row>
    <row r="476" spans="7:7" ht="14.25" customHeight="1" x14ac:dyDescent="0.35">
      <c r="G476" s="39"/>
    </row>
    <row r="477" spans="7:7" ht="14.25" customHeight="1" x14ac:dyDescent="0.35">
      <c r="G477" s="39"/>
    </row>
    <row r="478" spans="7:7" ht="14.25" customHeight="1" x14ac:dyDescent="0.35">
      <c r="G478" s="39"/>
    </row>
    <row r="479" spans="7:7" ht="14.25" customHeight="1" x14ac:dyDescent="0.35">
      <c r="G479" s="39"/>
    </row>
    <row r="480" spans="7:7" ht="14.25" customHeight="1" x14ac:dyDescent="0.35">
      <c r="G480" s="39"/>
    </row>
    <row r="481" spans="7:7" ht="14.25" customHeight="1" x14ac:dyDescent="0.35">
      <c r="G481" s="39"/>
    </row>
    <row r="482" spans="7:7" ht="14.25" customHeight="1" x14ac:dyDescent="0.35">
      <c r="G482" s="39"/>
    </row>
    <row r="483" spans="7:7" ht="14.25" customHeight="1" x14ac:dyDescent="0.35">
      <c r="G483" s="39"/>
    </row>
    <row r="484" spans="7:7" ht="14.25" customHeight="1" x14ac:dyDescent="0.35">
      <c r="G484" s="39"/>
    </row>
    <row r="485" spans="7:7" ht="14.25" customHeight="1" x14ac:dyDescent="0.35">
      <c r="G485" s="39"/>
    </row>
    <row r="486" spans="7:7" ht="14.25" customHeight="1" x14ac:dyDescent="0.35">
      <c r="G486" s="39"/>
    </row>
    <row r="487" spans="7:7" ht="14.25" customHeight="1" x14ac:dyDescent="0.35">
      <c r="G487" s="39"/>
    </row>
    <row r="488" spans="7:7" ht="14.25" customHeight="1" x14ac:dyDescent="0.35">
      <c r="G488" s="39"/>
    </row>
    <row r="489" spans="7:7" ht="14.25" customHeight="1" x14ac:dyDescent="0.35">
      <c r="G489" s="39"/>
    </row>
    <row r="490" spans="7:7" ht="14.25" customHeight="1" x14ac:dyDescent="0.35">
      <c r="G490" s="39"/>
    </row>
    <row r="491" spans="7:7" ht="14.25" customHeight="1" x14ac:dyDescent="0.35">
      <c r="G491" s="39"/>
    </row>
    <row r="492" spans="7:7" ht="14.25" customHeight="1" x14ac:dyDescent="0.35">
      <c r="G492" s="39"/>
    </row>
    <row r="493" spans="7:7" ht="14.25" customHeight="1" x14ac:dyDescent="0.35">
      <c r="G493" s="39"/>
    </row>
    <row r="494" spans="7:7" ht="14.25" customHeight="1" x14ac:dyDescent="0.35">
      <c r="G494" s="39"/>
    </row>
    <row r="495" spans="7:7" ht="14.25" customHeight="1" x14ac:dyDescent="0.35">
      <c r="G495" s="39"/>
    </row>
    <row r="496" spans="7:7" ht="14.25" customHeight="1" x14ac:dyDescent="0.35">
      <c r="G496" s="39"/>
    </row>
    <row r="497" spans="7:7" ht="14.25" customHeight="1" x14ac:dyDescent="0.35">
      <c r="G497" s="39"/>
    </row>
    <row r="498" spans="7:7" ht="14.25" customHeight="1" x14ac:dyDescent="0.35">
      <c r="G498" s="39"/>
    </row>
    <row r="499" spans="7:7" ht="14.25" customHeight="1" x14ac:dyDescent="0.35">
      <c r="G499" s="39"/>
    </row>
    <row r="500" spans="7:7" ht="14.25" customHeight="1" x14ac:dyDescent="0.35">
      <c r="G500" s="39"/>
    </row>
    <row r="501" spans="7:7" ht="14.25" customHeight="1" x14ac:dyDescent="0.35">
      <c r="G501" s="39"/>
    </row>
    <row r="502" spans="7:7" ht="14.25" customHeight="1" x14ac:dyDescent="0.35">
      <c r="G502" s="39"/>
    </row>
    <row r="503" spans="7:7" ht="14.25" customHeight="1" x14ac:dyDescent="0.35">
      <c r="G503" s="39"/>
    </row>
    <row r="504" spans="7:7" ht="14.25" customHeight="1" x14ac:dyDescent="0.35">
      <c r="G504" s="39"/>
    </row>
    <row r="505" spans="7:7" ht="14.25" customHeight="1" x14ac:dyDescent="0.35">
      <c r="G505" s="39"/>
    </row>
    <row r="506" spans="7:7" ht="14.25" customHeight="1" x14ac:dyDescent="0.35">
      <c r="G506" s="39"/>
    </row>
    <row r="507" spans="7:7" ht="14.25" customHeight="1" x14ac:dyDescent="0.35">
      <c r="G507" s="39"/>
    </row>
    <row r="508" spans="7:7" ht="14.25" customHeight="1" x14ac:dyDescent="0.35">
      <c r="G508" s="39"/>
    </row>
    <row r="509" spans="7:7" ht="14.25" customHeight="1" x14ac:dyDescent="0.35">
      <c r="G509" s="39"/>
    </row>
    <row r="510" spans="7:7" ht="14.25" customHeight="1" x14ac:dyDescent="0.35">
      <c r="G510" s="39"/>
    </row>
    <row r="511" spans="7:7" ht="14.25" customHeight="1" x14ac:dyDescent="0.35">
      <c r="G511" s="39"/>
    </row>
    <row r="512" spans="7:7" ht="14.25" customHeight="1" x14ac:dyDescent="0.35">
      <c r="G512" s="39"/>
    </row>
    <row r="513" spans="7:7" ht="14.25" customHeight="1" x14ac:dyDescent="0.35">
      <c r="G513" s="39"/>
    </row>
    <row r="514" spans="7:7" ht="14.25" customHeight="1" x14ac:dyDescent="0.35">
      <c r="G514" s="39"/>
    </row>
    <row r="515" spans="7:7" ht="14.25" customHeight="1" x14ac:dyDescent="0.35">
      <c r="G515" s="39"/>
    </row>
    <row r="516" spans="7:7" ht="14.25" customHeight="1" x14ac:dyDescent="0.35">
      <c r="G516" s="39"/>
    </row>
    <row r="517" spans="7:7" ht="14.25" customHeight="1" x14ac:dyDescent="0.35">
      <c r="G517" s="39"/>
    </row>
    <row r="518" spans="7:7" ht="14.25" customHeight="1" x14ac:dyDescent="0.35">
      <c r="G518" s="39"/>
    </row>
    <row r="519" spans="7:7" ht="14.25" customHeight="1" x14ac:dyDescent="0.35">
      <c r="G519" s="39"/>
    </row>
    <row r="520" spans="7:7" ht="14.25" customHeight="1" x14ac:dyDescent="0.35">
      <c r="G520" s="39"/>
    </row>
    <row r="521" spans="7:7" ht="14.25" customHeight="1" x14ac:dyDescent="0.35">
      <c r="G521" s="39"/>
    </row>
    <row r="522" spans="7:7" ht="14.25" customHeight="1" x14ac:dyDescent="0.35">
      <c r="G522" s="39"/>
    </row>
    <row r="523" spans="7:7" ht="14.25" customHeight="1" x14ac:dyDescent="0.35">
      <c r="G523" s="39"/>
    </row>
    <row r="524" spans="7:7" ht="14.25" customHeight="1" x14ac:dyDescent="0.35">
      <c r="G524" s="39"/>
    </row>
    <row r="525" spans="7:7" ht="14.25" customHeight="1" x14ac:dyDescent="0.35">
      <c r="G525" s="39"/>
    </row>
    <row r="526" spans="7:7" ht="14.25" customHeight="1" x14ac:dyDescent="0.35">
      <c r="G526" s="39"/>
    </row>
    <row r="527" spans="7:7" ht="14.25" customHeight="1" x14ac:dyDescent="0.35">
      <c r="G527" s="39"/>
    </row>
    <row r="528" spans="7:7" ht="14.25" customHeight="1" x14ac:dyDescent="0.35">
      <c r="G528" s="39"/>
    </row>
    <row r="529" spans="7:7" ht="14.25" customHeight="1" x14ac:dyDescent="0.35">
      <c r="G529" s="39"/>
    </row>
    <row r="530" spans="7:7" ht="14.25" customHeight="1" x14ac:dyDescent="0.35">
      <c r="G530" s="39"/>
    </row>
    <row r="531" spans="7:7" ht="14.25" customHeight="1" x14ac:dyDescent="0.35">
      <c r="G531" s="39"/>
    </row>
    <row r="532" spans="7:7" ht="14.25" customHeight="1" x14ac:dyDescent="0.35">
      <c r="G532" s="39"/>
    </row>
    <row r="533" spans="7:7" ht="14.25" customHeight="1" x14ac:dyDescent="0.35">
      <c r="G533" s="39"/>
    </row>
    <row r="534" spans="7:7" ht="14.25" customHeight="1" x14ac:dyDescent="0.35">
      <c r="G534" s="39"/>
    </row>
    <row r="535" spans="7:7" ht="14.25" customHeight="1" x14ac:dyDescent="0.35">
      <c r="G535" s="39"/>
    </row>
    <row r="536" spans="7:7" ht="14.25" customHeight="1" x14ac:dyDescent="0.35">
      <c r="G536" s="39"/>
    </row>
    <row r="537" spans="7:7" ht="14.25" customHeight="1" x14ac:dyDescent="0.35">
      <c r="G537" s="39"/>
    </row>
    <row r="538" spans="7:7" ht="14.25" customHeight="1" x14ac:dyDescent="0.35">
      <c r="G538" s="39"/>
    </row>
    <row r="539" spans="7:7" ht="14.25" customHeight="1" x14ac:dyDescent="0.35">
      <c r="G539" s="39"/>
    </row>
    <row r="540" spans="7:7" ht="14.25" customHeight="1" x14ac:dyDescent="0.35">
      <c r="G540" s="39"/>
    </row>
    <row r="541" spans="7:7" ht="14.25" customHeight="1" x14ac:dyDescent="0.35">
      <c r="G541" s="39"/>
    </row>
    <row r="542" spans="7:7" ht="14.25" customHeight="1" x14ac:dyDescent="0.35">
      <c r="G542" s="39"/>
    </row>
    <row r="543" spans="7:7" ht="14.25" customHeight="1" x14ac:dyDescent="0.35">
      <c r="G543" s="39"/>
    </row>
    <row r="544" spans="7:7" ht="14.25" customHeight="1" x14ac:dyDescent="0.35">
      <c r="G544" s="39"/>
    </row>
    <row r="545" spans="7:7" ht="14.25" customHeight="1" x14ac:dyDescent="0.35">
      <c r="G545" s="39"/>
    </row>
    <row r="546" spans="7:7" ht="14.25" customHeight="1" x14ac:dyDescent="0.35">
      <c r="G546" s="39"/>
    </row>
    <row r="547" spans="7:7" ht="14.25" customHeight="1" x14ac:dyDescent="0.35">
      <c r="G547" s="39"/>
    </row>
    <row r="548" spans="7:7" ht="14.25" customHeight="1" x14ac:dyDescent="0.35">
      <c r="G548" s="39"/>
    </row>
    <row r="549" spans="7:7" ht="14.25" customHeight="1" x14ac:dyDescent="0.35">
      <c r="G549" s="39"/>
    </row>
    <row r="550" spans="7:7" ht="14.25" customHeight="1" x14ac:dyDescent="0.35">
      <c r="G550" s="39"/>
    </row>
    <row r="551" spans="7:7" ht="14.25" customHeight="1" x14ac:dyDescent="0.35">
      <c r="G551" s="39"/>
    </row>
    <row r="552" spans="7:7" ht="14.25" customHeight="1" x14ac:dyDescent="0.35">
      <c r="G552" s="39"/>
    </row>
    <row r="553" spans="7:7" ht="14.25" customHeight="1" x14ac:dyDescent="0.35">
      <c r="G553" s="39"/>
    </row>
    <row r="554" spans="7:7" ht="14.25" customHeight="1" x14ac:dyDescent="0.35">
      <c r="G554" s="39"/>
    </row>
    <row r="555" spans="7:7" ht="14.25" customHeight="1" x14ac:dyDescent="0.35">
      <c r="G555" s="39"/>
    </row>
    <row r="556" spans="7:7" ht="14.25" customHeight="1" x14ac:dyDescent="0.35">
      <c r="G556" s="39"/>
    </row>
    <row r="557" spans="7:7" ht="14.25" customHeight="1" x14ac:dyDescent="0.35">
      <c r="G557" s="39"/>
    </row>
    <row r="558" spans="7:7" ht="14.25" customHeight="1" x14ac:dyDescent="0.35">
      <c r="G558" s="39"/>
    </row>
    <row r="559" spans="7:7" ht="14.25" customHeight="1" x14ac:dyDescent="0.35">
      <c r="G559" s="39"/>
    </row>
    <row r="560" spans="7:7" ht="14.25" customHeight="1" x14ac:dyDescent="0.35">
      <c r="G560" s="39"/>
    </row>
    <row r="561" spans="7:7" ht="14.25" customHeight="1" x14ac:dyDescent="0.35">
      <c r="G561" s="39"/>
    </row>
    <row r="562" spans="7:7" ht="14.25" customHeight="1" x14ac:dyDescent="0.35">
      <c r="G562" s="39"/>
    </row>
    <row r="563" spans="7:7" ht="14.25" customHeight="1" x14ac:dyDescent="0.35">
      <c r="G563" s="39"/>
    </row>
    <row r="564" spans="7:7" ht="14.25" customHeight="1" x14ac:dyDescent="0.35">
      <c r="G564" s="39"/>
    </row>
    <row r="565" spans="7:7" ht="14.25" customHeight="1" x14ac:dyDescent="0.35">
      <c r="G565" s="39"/>
    </row>
    <row r="566" spans="7:7" ht="14.25" customHeight="1" x14ac:dyDescent="0.35">
      <c r="G566" s="39"/>
    </row>
    <row r="567" spans="7:7" ht="14.25" customHeight="1" x14ac:dyDescent="0.35">
      <c r="G567" s="39"/>
    </row>
    <row r="568" spans="7:7" ht="14.25" customHeight="1" x14ac:dyDescent="0.35">
      <c r="G568" s="39"/>
    </row>
    <row r="569" spans="7:7" ht="14.25" customHeight="1" x14ac:dyDescent="0.35">
      <c r="G569" s="39"/>
    </row>
    <row r="570" spans="7:7" ht="14.25" customHeight="1" x14ac:dyDescent="0.35">
      <c r="G570" s="39"/>
    </row>
    <row r="571" spans="7:7" ht="14.25" customHeight="1" x14ac:dyDescent="0.35">
      <c r="G571" s="39"/>
    </row>
    <row r="572" spans="7:7" ht="14.25" customHeight="1" x14ac:dyDescent="0.35">
      <c r="G572" s="39"/>
    </row>
    <row r="573" spans="7:7" ht="14.25" customHeight="1" x14ac:dyDescent="0.35">
      <c r="G573" s="39"/>
    </row>
    <row r="574" spans="7:7" ht="14.25" customHeight="1" x14ac:dyDescent="0.35">
      <c r="G574" s="39"/>
    </row>
    <row r="575" spans="7:7" ht="14.25" customHeight="1" x14ac:dyDescent="0.35">
      <c r="G575" s="39"/>
    </row>
    <row r="576" spans="7:7" ht="14.25" customHeight="1" x14ac:dyDescent="0.35">
      <c r="G576" s="39"/>
    </row>
    <row r="577" spans="7:7" ht="14.25" customHeight="1" x14ac:dyDescent="0.35">
      <c r="G577" s="39"/>
    </row>
    <row r="578" spans="7:7" ht="14.25" customHeight="1" x14ac:dyDescent="0.35">
      <c r="G578" s="39"/>
    </row>
    <row r="579" spans="7:7" ht="14.25" customHeight="1" x14ac:dyDescent="0.35">
      <c r="G579" s="39"/>
    </row>
    <row r="580" spans="7:7" ht="14.25" customHeight="1" x14ac:dyDescent="0.35">
      <c r="G580" s="39"/>
    </row>
    <row r="581" spans="7:7" ht="14.25" customHeight="1" x14ac:dyDescent="0.35">
      <c r="G581" s="39"/>
    </row>
    <row r="582" spans="7:7" ht="14.25" customHeight="1" x14ac:dyDescent="0.35">
      <c r="G582" s="39"/>
    </row>
    <row r="583" spans="7:7" ht="14.25" customHeight="1" x14ac:dyDescent="0.35">
      <c r="G583" s="39"/>
    </row>
    <row r="584" spans="7:7" ht="14.25" customHeight="1" x14ac:dyDescent="0.35">
      <c r="G584" s="39"/>
    </row>
    <row r="585" spans="7:7" ht="14.25" customHeight="1" x14ac:dyDescent="0.35">
      <c r="G585" s="39"/>
    </row>
    <row r="586" spans="7:7" ht="14.25" customHeight="1" x14ac:dyDescent="0.35">
      <c r="G586" s="39"/>
    </row>
    <row r="587" spans="7:7" ht="14.25" customHeight="1" x14ac:dyDescent="0.35">
      <c r="G587" s="39"/>
    </row>
    <row r="588" spans="7:7" ht="14.25" customHeight="1" x14ac:dyDescent="0.35">
      <c r="G588" s="39"/>
    </row>
    <row r="589" spans="7:7" ht="14.25" customHeight="1" x14ac:dyDescent="0.35">
      <c r="G589" s="39"/>
    </row>
    <row r="590" spans="7:7" ht="14.25" customHeight="1" x14ac:dyDescent="0.35">
      <c r="G590" s="39"/>
    </row>
    <row r="591" spans="7:7" ht="14.25" customHeight="1" x14ac:dyDescent="0.35">
      <c r="G591" s="39"/>
    </row>
    <row r="592" spans="7:7" ht="14.25" customHeight="1" x14ac:dyDescent="0.35">
      <c r="G592" s="39"/>
    </row>
    <row r="593" spans="7:7" ht="14.25" customHeight="1" x14ac:dyDescent="0.35">
      <c r="G593" s="39"/>
    </row>
    <row r="594" spans="7:7" ht="14.25" customHeight="1" x14ac:dyDescent="0.35">
      <c r="G594" s="39"/>
    </row>
    <row r="595" spans="7:7" ht="14.25" customHeight="1" x14ac:dyDescent="0.35">
      <c r="G595" s="39"/>
    </row>
    <row r="596" spans="7:7" ht="14.25" customHeight="1" x14ac:dyDescent="0.35">
      <c r="G596" s="39"/>
    </row>
    <row r="597" spans="7:7" ht="14.25" customHeight="1" x14ac:dyDescent="0.35">
      <c r="G597" s="39"/>
    </row>
    <row r="598" spans="7:7" ht="14.25" customHeight="1" x14ac:dyDescent="0.35">
      <c r="G598" s="39"/>
    </row>
    <row r="599" spans="7:7" ht="14.25" customHeight="1" x14ac:dyDescent="0.35">
      <c r="G599" s="39"/>
    </row>
    <row r="600" spans="7:7" ht="14.25" customHeight="1" x14ac:dyDescent="0.35">
      <c r="G600" s="39"/>
    </row>
    <row r="601" spans="7:7" ht="14.25" customHeight="1" x14ac:dyDescent="0.35">
      <c r="G601" s="39"/>
    </row>
    <row r="602" spans="7:7" ht="14.25" customHeight="1" x14ac:dyDescent="0.35">
      <c r="G602" s="39"/>
    </row>
    <row r="603" spans="7:7" ht="14.25" customHeight="1" x14ac:dyDescent="0.35">
      <c r="G603" s="39"/>
    </row>
    <row r="604" spans="7:7" ht="14.25" customHeight="1" x14ac:dyDescent="0.35">
      <c r="G604" s="39"/>
    </row>
    <row r="605" spans="7:7" ht="14.25" customHeight="1" x14ac:dyDescent="0.35">
      <c r="G605" s="39"/>
    </row>
    <row r="606" spans="7:7" ht="14.25" customHeight="1" x14ac:dyDescent="0.35">
      <c r="G606" s="39"/>
    </row>
    <row r="607" spans="7:7" ht="14.25" customHeight="1" x14ac:dyDescent="0.35">
      <c r="G607" s="39"/>
    </row>
    <row r="608" spans="7:7" ht="14.25" customHeight="1" x14ac:dyDescent="0.35">
      <c r="G608" s="39"/>
    </row>
    <row r="609" spans="7:7" ht="14.25" customHeight="1" x14ac:dyDescent="0.35">
      <c r="G609" s="39"/>
    </row>
    <row r="610" spans="7:7" ht="14.25" customHeight="1" x14ac:dyDescent="0.35">
      <c r="G610" s="39"/>
    </row>
    <row r="611" spans="7:7" ht="14.25" customHeight="1" x14ac:dyDescent="0.35">
      <c r="G611" s="39"/>
    </row>
    <row r="612" spans="7:7" ht="14.25" customHeight="1" x14ac:dyDescent="0.35">
      <c r="G612" s="39"/>
    </row>
    <row r="613" spans="7:7" ht="14.25" customHeight="1" x14ac:dyDescent="0.35">
      <c r="G613" s="39"/>
    </row>
    <row r="614" spans="7:7" ht="14.25" customHeight="1" x14ac:dyDescent="0.35">
      <c r="G614" s="39"/>
    </row>
    <row r="615" spans="7:7" ht="14.25" customHeight="1" x14ac:dyDescent="0.35">
      <c r="G615" s="39"/>
    </row>
    <row r="616" spans="7:7" ht="14.25" customHeight="1" x14ac:dyDescent="0.35">
      <c r="G616" s="39"/>
    </row>
    <row r="617" spans="7:7" ht="14.25" customHeight="1" x14ac:dyDescent="0.35">
      <c r="G617" s="39"/>
    </row>
    <row r="618" spans="7:7" ht="14.25" customHeight="1" x14ac:dyDescent="0.35">
      <c r="G618" s="39"/>
    </row>
    <row r="619" spans="7:7" ht="14.25" customHeight="1" x14ac:dyDescent="0.35">
      <c r="G619" s="39"/>
    </row>
    <row r="620" spans="7:7" ht="14.25" customHeight="1" x14ac:dyDescent="0.35">
      <c r="G620" s="39"/>
    </row>
    <row r="621" spans="7:7" ht="14.25" customHeight="1" x14ac:dyDescent="0.35">
      <c r="G621" s="39"/>
    </row>
    <row r="622" spans="7:7" ht="14.25" customHeight="1" x14ac:dyDescent="0.35">
      <c r="G622" s="39"/>
    </row>
    <row r="623" spans="7:7" ht="14.25" customHeight="1" x14ac:dyDescent="0.35">
      <c r="G623" s="39"/>
    </row>
    <row r="624" spans="7:7" ht="14.25" customHeight="1" x14ac:dyDescent="0.35">
      <c r="G624" s="39"/>
    </row>
    <row r="625" spans="7:7" ht="14.25" customHeight="1" x14ac:dyDescent="0.35">
      <c r="G625" s="39"/>
    </row>
    <row r="626" spans="7:7" ht="14.25" customHeight="1" x14ac:dyDescent="0.35">
      <c r="G626" s="39"/>
    </row>
    <row r="627" spans="7:7" ht="14.25" customHeight="1" x14ac:dyDescent="0.35">
      <c r="G627" s="39"/>
    </row>
    <row r="628" spans="7:7" ht="14.25" customHeight="1" x14ac:dyDescent="0.35">
      <c r="G628" s="39"/>
    </row>
    <row r="629" spans="7:7" ht="14.25" customHeight="1" x14ac:dyDescent="0.35">
      <c r="G629" s="39"/>
    </row>
    <row r="630" spans="7:7" ht="14.25" customHeight="1" x14ac:dyDescent="0.35">
      <c r="G630" s="39"/>
    </row>
    <row r="631" spans="7:7" ht="14.25" customHeight="1" x14ac:dyDescent="0.35">
      <c r="G631" s="39"/>
    </row>
    <row r="632" spans="7:7" ht="14.25" customHeight="1" x14ac:dyDescent="0.35">
      <c r="G632" s="39"/>
    </row>
    <row r="633" spans="7:7" ht="14.25" customHeight="1" x14ac:dyDescent="0.35">
      <c r="G633" s="39"/>
    </row>
    <row r="634" spans="7:7" ht="14.25" customHeight="1" x14ac:dyDescent="0.35">
      <c r="G634" s="39"/>
    </row>
    <row r="635" spans="7:7" ht="14.25" customHeight="1" x14ac:dyDescent="0.35">
      <c r="G635" s="39"/>
    </row>
    <row r="636" spans="7:7" ht="14.25" customHeight="1" x14ac:dyDescent="0.35">
      <c r="G636" s="39"/>
    </row>
    <row r="637" spans="7:7" ht="14.25" customHeight="1" x14ac:dyDescent="0.35">
      <c r="G637" s="39"/>
    </row>
    <row r="638" spans="7:7" ht="14.25" customHeight="1" x14ac:dyDescent="0.35">
      <c r="G638" s="39"/>
    </row>
    <row r="639" spans="7:7" ht="14.25" customHeight="1" x14ac:dyDescent="0.35">
      <c r="G639" s="39"/>
    </row>
    <row r="640" spans="7:7" ht="14.25" customHeight="1" x14ac:dyDescent="0.35">
      <c r="G640" s="39"/>
    </row>
    <row r="641" spans="7:7" ht="14.25" customHeight="1" x14ac:dyDescent="0.35">
      <c r="G641" s="39"/>
    </row>
    <row r="642" spans="7:7" ht="14.25" customHeight="1" x14ac:dyDescent="0.35">
      <c r="G642" s="39"/>
    </row>
    <row r="643" spans="7:7" ht="14.25" customHeight="1" x14ac:dyDescent="0.35">
      <c r="G643" s="39"/>
    </row>
    <row r="644" spans="7:7" ht="14.25" customHeight="1" x14ac:dyDescent="0.35">
      <c r="G644" s="39"/>
    </row>
    <row r="645" spans="7:7" ht="14.25" customHeight="1" x14ac:dyDescent="0.35">
      <c r="G645" s="39"/>
    </row>
    <row r="646" spans="7:7" ht="14.25" customHeight="1" x14ac:dyDescent="0.35">
      <c r="G646" s="39"/>
    </row>
    <row r="647" spans="7:7" ht="14.25" customHeight="1" x14ac:dyDescent="0.35">
      <c r="G647" s="39"/>
    </row>
    <row r="648" spans="7:7" ht="14.25" customHeight="1" x14ac:dyDescent="0.35">
      <c r="G648" s="39"/>
    </row>
    <row r="649" spans="7:7" ht="14.25" customHeight="1" x14ac:dyDescent="0.35">
      <c r="G649" s="39"/>
    </row>
    <row r="650" spans="7:7" ht="14.25" customHeight="1" x14ac:dyDescent="0.35">
      <c r="G650" s="39"/>
    </row>
    <row r="651" spans="7:7" ht="14.25" customHeight="1" x14ac:dyDescent="0.35">
      <c r="G651" s="39"/>
    </row>
    <row r="652" spans="7:7" ht="14.25" customHeight="1" x14ac:dyDescent="0.35">
      <c r="G652" s="39"/>
    </row>
    <row r="653" spans="7:7" ht="14.25" customHeight="1" x14ac:dyDescent="0.35">
      <c r="G653" s="39"/>
    </row>
    <row r="654" spans="7:7" ht="14.25" customHeight="1" x14ac:dyDescent="0.35">
      <c r="G654" s="39"/>
    </row>
    <row r="655" spans="7:7" ht="14.25" customHeight="1" x14ac:dyDescent="0.35">
      <c r="G655" s="39"/>
    </row>
    <row r="656" spans="7:7" ht="14.25" customHeight="1" x14ac:dyDescent="0.35">
      <c r="G656" s="39"/>
    </row>
    <row r="657" spans="7:7" ht="14.25" customHeight="1" x14ac:dyDescent="0.35">
      <c r="G657" s="39"/>
    </row>
    <row r="658" spans="7:7" ht="14.25" customHeight="1" x14ac:dyDescent="0.35">
      <c r="G658" s="39"/>
    </row>
    <row r="659" spans="7:7" ht="14.25" customHeight="1" x14ac:dyDescent="0.35">
      <c r="G659" s="39"/>
    </row>
    <row r="660" spans="7:7" ht="14.25" customHeight="1" x14ac:dyDescent="0.35">
      <c r="G660" s="39"/>
    </row>
    <row r="661" spans="7:7" ht="14.25" customHeight="1" x14ac:dyDescent="0.35">
      <c r="G661" s="39"/>
    </row>
    <row r="662" spans="7:7" ht="14.25" customHeight="1" x14ac:dyDescent="0.35">
      <c r="G662" s="39"/>
    </row>
    <row r="663" spans="7:7" ht="14.25" customHeight="1" x14ac:dyDescent="0.35">
      <c r="G663" s="39"/>
    </row>
    <row r="664" spans="7:7" ht="14.25" customHeight="1" x14ac:dyDescent="0.35">
      <c r="G664" s="39"/>
    </row>
    <row r="665" spans="7:7" ht="14.25" customHeight="1" x14ac:dyDescent="0.35">
      <c r="G665" s="39"/>
    </row>
    <row r="666" spans="7:7" ht="14.25" customHeight="1" x14ac:dyDescent="0.35">
      <c r="G666" s="39"/>
    </row>
    <row r="667" spans="7:7" ht="14.25" customHeight="1" x14ac:dyDescent="0.35">
      <c r="G667" s="39"/>
    </row>
    <row r="668" spans="7:7" ht="14.25" customHeight="1" x14ac:dyDescent="0.35">
      <c r="G668" s="39"/>
    </row>
    <row r="669" spans="7:7" ht="14.25" customHeight="1" x14ac:dyDescent="0.35">
      <c r="G669" s="39"/>
    </row>
    <row r="670" spans="7:7" ht="14.25" customHeight="1" x14ac:dyDescent="0.35">
      <c r="G670" s="39"/>
    </row>
    <row r="671" spans="7:7" ht="14.25" customHeight="1" x14ac:dyDescent="0.35">
      <c r="G671" s="39"/>
    </row>
    <row r="672" spans="7:7" ht="14.25" customHeight="1" x14ac:dyDescent="0.35">
      <c r="G672" s="39"/>
    </row>
    <row r="673" spans="7:7" ht="14.25" customHeight="1" x14ac:dyDescent="0.35">
      <c r="G673" s="39"/>
    </row>
    <row r="674" spans="7:7" ht="14.25" customHeight="1" x14ac:dyDescent="0.35">
      <c r="G674" s="39"/>
    </row>
    <row r="675" spans="7:7" ht="14.25" customHeight="1" x14ac:dyDescent="0.35">
      <c r="G675" s="39"/>
    </row>
    <row r="676" spans="7:7" ht="14.25" customHeight="1" x14ac:dyDescent="0.35">
      <c r="G676" s="39"/>
    </row>
    <row r="677" spans="7:7" ht="14.25" customHeight="1" x14ac:dyDescent="0.35">
      <c r="G677" s="39"/>
    </row>
    <row r="678" spans="7:7" ht="14.25" customHeight="1" x14ac:dyDescent="0.35">
      <c r="G678" s="39"/>
    </row>
    <row r="679" spans="7:7" ht="14.25" customHeight="1" x14ac:dyDescent="0.35">
      <c r="G679" s="39"/>
    </row>
    <row r="680" spans="7:7" ht="14.25" customHeight="1" x14ac:dyDescent="0.35">
      <c r="G680" s="39"/>
    </row>
    <row r="681" spans="7:7" ht="14.25" customHeight="1" x14ac:dyDescent="0.35">
      <c r="G681" s="39"/>
    </row>
    <row r="682" spans="7:7" ht="14.25" customHeight="1" x14ac:dyDescent="0.35">
      <c r="G682" s="39"/>
    </row>
    <row r="683" spans="7:7" ht="14.25" customHeight="1" x14ac:dyDescent="0.35">
      <c r="G683" s="39"/>
    </row>
    <row r="684" spans="7:7" ht="14.25" customHeight="1" x14ac:dyDescent="0.35">
      <c r="G684" s="39"/>
    </row>
    <row r="685" spans="7:7" ht="14.25" customHeight="1" x14ac:dyDescent="0.35">
      <c r="G685" s="39"/>
    </row>
    <row r="686" spans="7:7" ht="14.25" customHeight="1" x14ac:dyDescent="0.35">
      <c r="G686" s="39"/>
    </row>
    <row r="687" spans="7:7" ht="14.25" customHeight="1" x14ac:dyDescent="0.35">
      <c r="G687" s="39"/>
    </row>
    <row r="688" spans="7:7" ht="14.25" customHeight="1" x14ac:dyDescent="0.35">
      <c r="G688" s="39"/>
    </row>
    <row r="689" spans="7:7" ht="14.25" customHeight="1" x14ac:dyDescent="0.35">
      <c r="G689" s="39"/>
    </row>
    <row r="690" spans="7:7" ht="14.25" customHeight="1" x14ac:dyDescent="0.35">
      <c r="G690" s="39"/>
    </row>
    <row r="691" spans="7:7" ht="14.25" customHeight="1" x14ac:dyDescent="0.35">
      <c r="G691" s="39"/>
    </row>
    <row r="692" spans="7:7" ht="14.25" customHeight="1" x14ac:dyDescent="0.35">
      <c r="G692" s="39"/>
    </row>
    <row r="693" spans="7:7" ht="14.25" customHeight="1" x14ac:dyDescent="0.35">
      <c r="G693" s="39"/>
    </row>
    <row r="694" spans="7:7" ht="14.25" customHeight="1" x14ac:dyDescent="0.35">
      <c r="G694" s="39"/>
    </row>
    <row r="695" spans="7:7" ht="14.25" customHeight="1" x14ac:dyDescent="0.35">
      <c r="G695" s="39"/>
    </row>
    <row r="696" spans="7:7" ht="14.25" customHeight="1" x14ac:dyDescent="0.35">
      <c r="G696" s="39"/>
    </row>
    <row r="697" spans="7:7" ht="14.25" customHeight="1" x14ac:dyDescent="0.35">
      <c r="G697" s="39"/>
    </row>
    <row r="698" spans="7:7" ht="14.25" customHeight="1" x14ac:dyDescent="0.35">
      <c r="G698" s="39"/>
    </row>
    <row r="699" spans="7:7" ht="14.25" customHeight="1" x14ac:dyDescent="0.35">
      <c r="G699" s="39"/>
    </row>
    <row r="700" spans="7:7" ht="14.25" customHeight="1" x14ac:dyDescent="0.35">
      <c r="G700" s="39"/>
    </row>
    <row r="701" spans="7:7" ht="14.25" customHeight="1" x14ac:dyDescent="0.35">
      <c r="G701" s="39"/>
    </row>
    <row r="702" spans="7:7" ht="14.25" customHeight="1" x14ac:dyDescent="0.35">
      <c r="G702" s="39"/>
    </row>
    <row r="703" spans="7:7" ht="14.25" customHeight="1" x14ac:dyDescent="0.35">
      <c r="G703" s="39"/>
    </row>
    <row r="704" spans="7:7" ht="14.25" customHeight="1" x14ac:dyDescent="0.35">
      <c r="G704" s="39"/>
    </row>
    <row r="705" spans="7:7" ht="14.25" customHeight="1" x14ac:dyDescent="0.35">
      <c r="G705" s="39"/>
    </row>
    <row r="706" spans="7:7" ht="14.25" customHeight="1" x14ac:dyDescent="0.35">
      <c r="G706" s="39"/>
    </row>
    <row r="707" spans="7:7" ht="14.25" customHeight="1" x14ac:dyDescent="0.35">
      <c r="G707" s="39"/>
    </row>
    <row r="708" spans="7:7" ht="14.25" customHeight="1" x14ac:dyDescent="0.35">
      <c r="G708" s="39"/>
    </row>
    <row r="709" spans="7:7" ht="14.25" customHeight="1" x14ac:dyDescent="0.35">
      <c r="G709" s="39"/>
    </row>
    <row r="710" spans="7:7" ht="14.25" customHeight="1" x14ac:dyDescent="0.35">
      <c r="G710" s="39"/>
    </row>
    <row r="711" spans="7:7" ht="14.25" customHeight="1" x14ac:dyDescent="0.35">
      <c r="G711" s="39"/>
    </row>
    <row r="712" spans="7:7" ht="14.25" customHeight="1" x14ac:dyDescent="0.35">
      <c r="G712" s="39"/>
    </row>
    <row r="713" spans="7:7" ht="14.25" customHeight="1" x14ac:dyDescent="0.35">
      <c r="G713" s="39"/>
    </row>
    <row r="714" spans="7:7" ht="14.25" customHeight="1" x14ac:dyDescent="0.35">
      <c r="G714" s="39"/>
    </row>
    <row r="715" spans="7:7" ht="14.25" customHeight="1" x14ac:dyDescent="0.35">
      <c r="G715" s="39"/>
    </row>
    <row r="716" spans="7:7" ht="14.25" customHeight="1" x14ac:dyDescent="0.35">
      <c r="G716" s="39"/>
    </row>
    <row r="717" spans="7:7" ht="14.25" customHeight="1" x14ac:dyDescent="0.35">
      <c r="G717" s="39"/>
    </row>
    <row r="718" spans="7:7" ht="14.25" customHeight="1" x14ac:dyDescent="0.35">
      <c r="G718" s="39"/>
    </row>
    <row r="719" spans="7:7" ht="14.25" customHeight="1" x14ac:dyDescent="0.35">
      <c r="G719" s="39"/>
    </row>
    <row r="720" spans="7:7" ht="14.25" customHeight="1" x14ac:dyDescent="0.35">
      <c r="G720" s="39"/>
    </row>
    <row r="721" spans="7:7" ht="14.25" customHeight="1" x14ac:dyDescent="0.35">
      <c r="G721" s="39"/>
    </row>
    <row r="722" spans="7:7" ht="14.25" customHeight="1" x14ac:dyDescent="0.35">
      <c r="G722" s="39"/>
    </row>
    <row r="723" spans="7:7" ht="14.25" customHeight="1" x14ac:dyDescent="0.35">
      <c r="G723" s="39"/>
    </row>
    <row r="724" spans="7:7" ht="14.25" customHeight="1" x14ac:dyDescent="0.35">
      <c r="G724" s="39"/>
    </row>
    <row r="725" spans="7:7" ht="14.25" customHeight="1" x14ac:dyDescent="0.35">
      <c r="G725" s="39"/>
    </row>
    <row r="726" spans="7:7" ht="14.25" customHeight="1" x14ac:dyDescent="0.35">
      <c r="G726" s="39"/>
    </row>
    <row r="727" spans="7:7" ht="14.25" customHeight="1" x14ac:dyDescent="0.35">
      <c r="G727" s="39"/>
    </row>
    <row r="728" spans="7:7" ht="14.25" customHeight="1" x14ac:dyDescent="0.35">
      <c r="G728" s="39"/>
    </row>
    <row r="729" spans="7:7" ht="14.25" customHeight="1" x14ac:dyDescent="0.35">
      <c r="G729" s="39"/>
    </row>
    <row r="730" spans="7:7" ht="14.25" customHeight="1" x14ac:dyDescent="0.35">
      <c r="G730" s="39"/>
    </row>
    <row r="731" spans="7:7" ht="14.25" customHeight="1" x14ac:dyDescent="0.35">
      <c r="G731" s="39"/>
    </row>
    <row r="732" spans="7:7" ht="14.25" customHeight="1" x14ac:dyDescent="0.35">
      <c r="G732" s="39"/>
    </row>
    <row r="733" spans="7:7" ht="14.25" customHeight="1" x14ac:dyDescent="0.35">
      <c r="G733" s="39"/>
    </row>
    <row r="734" spans="7:7" ht="14.25" customHeight="1" x14ac:dyDescent="0.35">
      <c r="G734" s="39"/>
    </row>
    <row r="735" spans="7:7" ht="14.25" customHeight="1" x14ac:dyDescent="0.35">
      <c r="G735" s="39"/>
    </row>
    <row r="736" spans="7:7" ht="14.25" customHeight="1" x14ac:dyDescent="0.35">
      <c r="G736" s="39"/>
    </row>
    <row r="737" spans="7:7" ht="14.25" customHeight="1" x14ac:dyDescent="0.35">
      <c r="G737" s="39"/>
    </row>
    <row r="738" spans="7:7" ht="14.25" customHeight="1" x14ac:dyDescent="0.35">
      <c r="G738" s="39"/>
    </row>
    <row r="739" spans="7:7" ht="14.25" customHeight="1" x14ac:dyDescent="0.35">
      <c r="G739" s="39"/>
    </row>
    <row r="740" spans="7:7" ht="14.25" customHeight="1" x14ac:dyDescent="0.35">
      <c r="G740" s="39"/>
    </row>
    <row r="741" spans="7:7" ht="14.25" customHeight="1" x14ac:dyDescent="0.35">
      <c r="G741" s="39"/>
    </row>
    <row r="742" spans="7:7" ht="14.25" customHeight="1" x14ac:dyDescent="0.35">
      <c r="G742" s="39"/>
    </row>
    <row r="743" spans="7:7" ht="14.25" customHeight="1" x14ac:dyDescent="0.35">
      <c r="G743" s="39"/>
    </row>
    <row r="744" spans="7:7" ht="14.25" customHeight="1" x14ac:dyDescent="0.35">
      <c r="G744" s="39"/>
    </row>
    <row r="745" spans="7:7" ht="14.25" customHeight="1" x14ac:dyDescent="0.35">
      <c r="G745" s="39"/>
    </row>
    <row r="746" spans="7:7" ht="14.25" customHeight="1" x14ac:dyDescent="0.35">
      <c r="G746" s="39"/>
    </row>
    <row r="747" spans="7:7" ht="14.25" customHeight="1" x14ac:dyDescent="0.35">
      <c r="G747" s="39"/>
    </row>
    <row r="748" spans="7:7" ht="14.25" customHeight="1" x14ac:dyDescent="0.35">
      <c r="G748" s="39"/>
    </row>
    <row r="749" spans="7:7" ht="14.25" customHeight="1" x14ac:dyDescent="0.35">
      <c r="G749" s="39"/>
    </row>
    <row r="750" spans="7:7" ht="14.25" customHeight="1" x14ac:dyDescent="0.35">
      <c r="G750" s="39"/>
    </row>
    <row r="751" spans="7:7" ht="14.25" customHeight="1" x14ac:dyDescent="0.35">
      <c r="G751" s="39"/>
    </row>
    <row r="752" spans="7:7" ht="14.25" customHeight="1" x14ac:dyDescent="0.35">
      <c r="G752" s="39"/>
    </row>
    <row r="753" spans="7:7" ht="14.25" customHeight="1" x14ac:dyDescent="0.35">
      <c r="G753" s="39"/>
    </row>
    <row r="754" spans="7:7" ht="14.25" customHeight="1" x14ac:dyDescent="0.35">
      <c r="G754" s="39"/>
    </row>
    <row r="755" spans="7:7" ht="14.25" customHeight="1" x14ac:dyDescent="0.35">
      <c r="G755" s="39"/>
    </row>
    <row r="756" spans="7:7" ht="14.25" customHeight="1" x14ac:dyDescent="0.35">
      <c r="G756" s="39"/>
    </row>
    <row r="757" spans="7:7" ht="14.25" customHeight="1" x14ac:dyDescent="0.35">
      <c r="G757" s="39"/>
    </row>
    <row r="758" spans="7:7" ht="14.25" customHeight="1" x14ac:dyDescent="0.35">
      <c r="G758" s="39"/>
    </row>
    <row r="759" spans="7:7" ht="14.25" customHeight="1" x14ac:dyDescent="0.35">
      <c r="G759" s="39"/>
    </row>
    <row r="760" spans="7:7" ht="14.25" customHeight="1" x14ac:dyDescent="0.35">
      <c r="G760" s="39"/>
    </row>
    <row r="761" spans="7:7" ht="14.25" customHeight="1" x14ac:dyDescent="0.35">
      <c r="G761" s="39"/>
    </row>
    <row r="762" spans="7:7" ht="14.25" customHeight="1" x14ac:dyDescent="0.35">
      <c r="G762" s="39"/>
    </row>
    <row r="763" spans="7:7" ht="14.25" customHeight="1" x14ac:dyDescent="0.35">
      <c r="G763" s="39"/>
    </row>
    <row r="764" spans="7:7" ht="14.25" customHeight="1" x14ac:dyDescent="0.35">
      <c r="G764" s="39"/>
    </row>
    <row r="765" spans="7:7" ht="14.25" customHeight="1" x14ac:dyDescent="0.35">
      <c r="G765" s="39"/>
    </row>
    <row r="766" spans="7:7" ht="14.25" customHeight="1" x14ac:dyDescent="0.35">
      <c r="G766" s="39"/>
    </row>
    <row r="767" spans="7:7" ht="14.25" customHeight="1" x14ac:dyDescent="0.35">
      <c r="G767" s="39"/>
    </row>
    <row r="768" spans="7:7" ht="14.25" customHeight="1" x14ac:dyDescent="0.35">
      <c r="G768" s="39"/>
    </row>
    <row r="769" spans="7:7" ht="14.25" customHeight="1" x14ac:dyDescent="0.35">
      <c r="G769" s="39"/>
    </row>
    <row r="770" spans="7:7" ht="14.25" customHeight="1" x14ac:dyDescent="0.35">
      <c r="G770" s="39"/>
    </row>
    <row r="771" spans="7:7" ht="14.25" customHeight="1" x14ac:dyDescent="0.35">
      <c r="G771" s="39"/>
    </row>
    <row r="772" spans="7:7" ht="14.25" customHeight="1" x14ac:dyDescent="0.35">
      <c r="G772" s="39"/>
    </row>
    <row r="773" spans="7:7" ht="14.25" customHeight="1" x14ac:dyDescent="0.35">
      <c r="G773" s="39"/>
    </row>
    <row r="774" spans="7:7" ht="14.25" customHeight="1" x14ac:dyDescent="0.35">
      <c r="G774" s="39"/>
    </row>
    <row r="775" spans="7:7" ht="14.25" customHeight="1" x14ac:dyDescent="0.35">
      <c r="G775" s="39"/>
    </row>
    <row r="776" spans="7:7" ht="14.25" customHeight="1" x14ac:dyDescent="0.35">
      <c r="G776" s="39"/>
    </row>
    <row r="777" spans="7:7" ht="14.25" customHeight="1" x14ac:dyDescent="0.35">
      <c r="G777" s="39"/>
    </row>
    <row r="778" spans="7:7" ht="14.25" customHeight="1" x14ac:dyDescent="0.35">
      <c r="G778" s="39"/>
    </row>
    <row r="779" spans="7:7" ht="14.25" customHeight="1" x14ac:dyDescent="0.35">
      <c r="G779" s="39"/>
    </row>
    <row r="780" spans="7:7" ht="14.25" customHeight="1" x14ac:dyDescent="0.35">
      <c r="G780" s="39"/>
    </row>
    <row r="781" spans="7:7" ht="14.25" customHeight="1" x14ac:dyDescent="0.35">
      <c r="G781" s="39"/>
    </row>
    <row r="782" spans="7:7" ht="14.25" customHeight="1" x14ac:dyDescent="0.35">
      <c r="G782" s="39"/>
    </row>
    <row r="783" spans="7:7" ht="14.25" customHeight="1" x14ac:dyDescent="0.35">
      <c r="G783" s="39"/>
    </row>
    <row r="784" spans="7:7" ht="14.25" customHeight="1" x14ac:dyDescent="0.35">
      <c r="G784" s="39"/>
    </row>
    <row r="785" spans="7:7" ht="14.25" customHeight="1" x14ac:dyDescent="0.35">
      <c r="G785" s="39"/>
    </row>
    <row r="786" spans="7:7" ht="14.25" customHeight="1" x14ac:dyDescent="0.35">
      <c r="G786" s="39"/>
    </row>
    <row r="787" spans="7:7" ht="14.25" customHeight="1" x14ac:dyDescent="0.35">
      <c r="G787" s="39"/>
    </row>
    <row r="788" spans="7:7" ht="14.25" customHeight="1" x14ac:dyDescent="0.35">
      <c r="G788" s="39"/>
    </row>
    <row r="789" spans="7:7" ht="14.25" customHeight="1" x14ac:dyDescent="0.35">
      <c r="G789" s="39"/>
    </row>
    <row r="790" spans="7:7" ht="14.25" customHeight="1" x14ac:dyDescent="0.35">
      <c r="G790" s="39"/>
    </row>
    <row r="791" spans="7:7" ht="14.25" customHeight="1" x14ac:dyDescent="0.35">
      <c r="G791" s="39"/>
    </row>
    <row r="792" spans="7:7" ht="14.25" customHeight="1" x14ac:dyDescent="0.35">
      <c r="G792" s="39"/>
    </row>
    <row r="793" spans="7:7" ht="14.25" customHeight="1" x14ac:dyDescent="0.35">
      <c r="G793" s="39"/>
    </row>
    <row r="794" spans="7:7" ht="14.25" customHeight="1" x14ac:dyDescent="0.35">
      <c r="G794" s="39"/>
    </row>
    <row r="795" spans="7:7" ht="14.25" customHeight="1" x14ac:dyDescent="0.35">
      <c r="G795" s="39"/>
    </row>
    <row r="796" spans="7:7" ht="14.25" customHeight="1" x14ac:dyDescent="0.35">
      <c r="G796" s="39"/>
    </row>
    <row r="797" spans="7:7" ht="14.25" customHeight="1" x14ac:dyDescent="0.35">
      <c r="G797" s="39"/>
    </row>
    <row r="798" spans="7:7" ht="14.25" customHeight="1" x14ac:dyDescent="0.35">
      <c r="G798" s="39"/>
    </row>
    <row r="799" spans="7:7" ht="14.25" customHeight="1" x14ac:dyDescent="0.35">
      <c r="G799" s="39"/>
    </row>
    <row r="800" spans="7:7" ht="14.25" customHeight="1" x14ac:dyDescent="0.35">
      <c r="G800" s="39"/>
    </row>
    <row r="801" spans="7:7" ht="14.25" customHeight="1" x14ac:dyDescent="0.35">
      <c r="G801" s="39"/>
    </row>
    <row r="802" spans="7:7" ht="14.25" customHeight="1" x14ac:dyDescent="0.35">
      <c r="G802" s="39"/>
    </row>
    <row r="803" spans="7:7" ht="14.25" customHeight="1" x14ac:dyDescent="0.35">
      <c r="G803" s="39"/>
    </row>
    <row r="804" spans="7:7" ht="14.25" customHeight="1" x14ac:dyDescent="0.35">
      <c r="G804" s="39"/>
    </row>
    <row r="805" spans="7:7" ht="14.25" customHeight="1" x14ac:dyDescent="0.35">
      <c r="G805" s="39"/>
    </row>
    <row r="806" spans="7:7" ht="14.25" customHeight="1" x14ac:dyDescent="0.35">
      <c r="G806" s="39"/>
    </row>
    <row r="807" spans="7:7" ht="14.25" customHeight="1" x14ac:dyDescent="0.35">
      <c r="G807" s="39"/>
    </row>
    <row r="808" spans="7:7" ht="14.25" customHeight="1" x14ac:dyDescent="0.35">
      <c r="G808" s="39"/>
    </row>
    <row r="809" spans="7:7" ht="14.25" customHeight="1" x14ac:dyDescent="0.35">
      <c r="G809" s="39"/>
    </row>
    <row r="810" spans="7:7" ht="14.25" customHeight="1" x14ac:dyDescent="0.35">
      <c r="G810" s="39"/>
    </row>
    <row r="811" spans="7:7" ht="14.25" customHeight="1" x14ac:dyDescent="0.35">
      <c r="G811" s="39"/>
    </row>
    <row r="812" spans="7:7" ht="14.25" customHeight="1" x14ac:dyDescent="0.35">
      <c r="G812" s="39"/>
    </row>
    <row r="813" spans="7:7" ht="14.25" customHeight="1" x14ac:dyDescent="0.35">
      <c r="G813" s="39"/>
    </row>
    <row r="814" spans="7:7" ht="14.25" customHeight="1" x14ac:dyDescent="0.35">
      <c r="G814" s="39"/>
    </row>
    <row r="815" spans="7:7" ht="14.25" customHeight="1" x14ac:dyDescent="0.35">
      <c r="G815" s="39"/>
    </row>
    <row r="816" spans="7:7" ht="14.25" customHeight="1" x14ac:dyDescent="0.35">
      <c r="G816" s="39"/>
    </row>
    <row r="817" spans="7:7" ht="14.25" customHeight="1" x14ac:dyDescent="0.35">
      <c r="G817" s="39"/>
    </row>
    <row r="818" spans="7:7" ht="14.25" customHeight="1" x14ac:dyDescent="0.35">
      <c r="G818" s="39"/>
    </row>
    <row r="819" spans="7:7" ht="14.25" customHeight="1" x14ac:dyDescent="0.35">
      <c r="G819" s="39"/>
    </row>
    <row r="820" spans="7:7" ht="14.25" customHeight="1" x14ac:dyDescent="0.35">
      <c r="G820" s="39"/>
    </row>
    <row r="821" spans="7:7" ht="14.25" customHeight="1" x14ac:dyDescent="0.35">
      <c r="G821" s="39"/>
    </row>
    <row r="822" spans="7:7" ht="14.25" customHeight="1" x14ac:dyDescent="0.35">
      <c r="G822" s="39"/>
    </row>
    <row r="823" spans="7:7" ht="14.25" customHeight="1" x14ac:dyDescent="0.35">
      <c r="G823" s="39"/>
    </row>
    <row r="824" spans="7:7" ht="14.25" customHeight="1" x14ac:dyDescent="0.35">
      <c r="G824" s="39"/>
    </row>
    <row r="825" spans="7:7" ht="14.25" customHeight="1" x14ac:dyDescent="0.35">
      <c r="G825" s="39"/>
    </row>
    <row r="826" spans="7:7" ht="14.25" customHeight="1" x14ac:dyDescent="0.35">
      <c r="G826" s="39"/>
    </row>
    <row r="827" spans="7:7" ht="14.25" customHeight="1" x14ac:dyDescent="0.35">
      <c r="G827" s="39"/>
    </row>
    <row r="828" spans="7:7" ht="14.25" customHeight="1" x14ac:dyDescent="0.35">
      <c r="G828" s="39"/>
    </row>
    <row r="829" spans="7:7" ht="14.25" customHeight="1" x14ac:dyDescent="0.35">
      <c r="G829" s="39"/>
    </row>
    <row r="830" spans="7:7" ht="14.25" customHeight="1" x14ac:dyDescent="0.35">
      <c r="G830" s="39"/>
    </row>
    <row r="831" spans="7:7" ht="14.25" customHeight="1" x14ac:dyDescent="0.35">
      <c r="G831" s="39"/>
    </row>
    <row r="832" spans="7:7" ht="14.25" customHeight="1" x14ac:dyDescent="0.35">
      <c r="G832" s="39"/>
    </row>
    <row r="833" spans="7:7" ht="14.25" customHeight="1" x14ac:dyDescent="0.35">
      <c r="G833" s="39"/>
    </row>
    <row r="834" spans="7:7" ht="14.25" customHeight="1" x14ac:dyDescent="0.35">
      <c r="G834" s="39"/>
    </row>
    <row r="835" spans="7:7" ht="14.25" customHeight="1" x14ac:dyDescent="0.35">
      <c r="G835" s="39"/>
    </row>
    <row r="836" spans="7:7" ht="14.25" customHeight="1" x14ac:dyDescent="0.35">
      <c r="G836" s="39"/>
    </row>
    <row r="837" spans="7:7" ht="14.25" customHeight="1" x14ac:dyDescent="0.35">
      <c r="G837" s="39"/>
    </row>
    <row r="838" spans="7:7" ht="14.25" customHeight="1" x14ac:dyDescent="0.35">
      <c r="G838" s="39"/>
    </row>
    <row r="839" spans="7:7" ht="14.25" customHeight="1" x14ac:dyDescent="0.35">
      <c r="G839" s="39"/>
    </row>
    <row r="840" spans="7:7" ht="14.25" customHeight="1" x14ac:dyDescent="0.35">
      <c r="G840" s="39"/>
    </row>
    <row r="841" spans="7:7" ht="14.25" customHeight="1" x14ac:dyDescent="0.35">
      <c r="G841" s="39"/>
    </row>
    <row r="842" spans="7:7" ht="14.25" customHeight="1" x14ac:dyDescent="0.35">
      <c r="G842" s="39"/>
    </row>
    <row r="843" spans="7:7" ht="14.25" customHeight="1" x14ac:dyDescent="0.35">
      <c r="G843" s="39"/>
    </row>
    <row r="844" spans="7:7" ht="14.25" customHeight="1" x14ac:dyDescent="0.35">
      <c r="G844" s="39"/>
    </row>
    <row r="845" spans="7:7" ht="14.25" customHeight="1" x14ac:dyDescent="0.35">
      <c r="G845" s="39"/>
    </row>
    <row r="846" spans="7:7" ht="14.25" customHeight="1" x14ac:dyDescent="0.35">
      <c r="G846" s="39"/>
    </row>
    <row r="847" spans="7:7" ht="14.25" customHeight="1" x14ac:dyDescent="0.35">
      <c r="G847" s="39"/>
    </row>
    <row r="848" spans="7:7" ht="14.25" customHeight="1" x14ac:dyDescent="0.35">
      <c r="G848" s="39"/>
    </row>
    <row r="849" spans="7:7" ht="14.25" customHeight="1" x14ac:dyDescent="0.35">
      <c r="G849" s="39"/>
    </row>
    <row r="850" spans="7:7" ht="14.25" customHeight="1" x14ac:dyDescent="0.35">
      <c r="G850" s="39"/>
    </row>
    <row r="851" spans="7:7" ht="14.25" customHeight="1" x14ac:dyDescent="0.35">
      <c r="G851" s="39"/>
    </row>
    <row r="852" spans="7:7" ht="14.25" customHeight="1" x14ac:dyDescent="0.35">
      <c r="G852" s="39"/>
    </row>
    <row r="853" spans="7:7" ht="14.25" customHeight="1" x14ac:dyDescent="0.35">
      <c r="G853" s="39"/>
    </row>
    <row r="854" spans="7:7" ht="14.25" customHeight="1" x14ac:dyDescent="0.35">
      <c r="G854" s="39"/>
    </row>
    <row r="855" spans="7:7" ht="14.25" customHeight="1" x14ac:dyDescent="0.35">
      <c r="G855" s="39"/>
    </row>
    <row r="856" spans="7:7" ht="14.25" customHeight="1" x14ac:dyDescent="0.35">
      <c r="G856" s="39"/>
    </row>
    <row r="857" spans="7:7" ht="14.25" customHeight="1" x14ac:dyDescent="0.35">
      <c r="G857" s="39"/>
    </row>
    <row r="858" spans="7:7" ht="14.25" customHeight="1" x14ac:dyDescent="0.35">
      <c r="G858" s="39"/>
    </row>
    <row r="859" spans="7:7" ht="14.25" customHeight="1" x14ac:dyDescent="0.35">
      <c r="G859" s="39"/>
    </row>
    <row r="860" spans="7:7" ht="14.25" customHeight="1" x14ac:dyDescent="0.35">
      <c r="G860" s="39"/>
    </row>
    <row r="861" spans="7:7" ht="14.25" customHeight="1" x14ac:dyDescent="0.35">
      <c r="G861" s="39"/>
    </row>
    <row r="862" spans="7:7" ht="14.25" customHeight="1" x14ac:dyDescent="0.35">
      <c r="G862" s="39"/>
    </row>
    <row r="863" spans="7:7" ht="14.25" customHeight="1" x14ac:dyDescent="0.35">
      <c r="G863" s="39"/>
    </row>
    <row r="864" spans="7:7" ht="14.25" customHeight="1" x14ac:dyDescent="0.35">
      <c r="G864" s="39"/>
    </row>
    <row r="865" spans="7:7" ht="14.25" customHeight="1" x14ac:dyDescent="0.35">
      <c r="G865" s="39"/>
    </row>
    <row r="866" spans="7:7" ht="14.25" customHeight="1" x14ac:dyDescent="0.35">
      <c r="G866" s="39"/>
    </row>
    <row r="867" spans="7:7" ht="14.25" customHeight="1" x14ac:dyDescent="0.35">
      <c r="G867" s="39"/>
    </row>
    <row r="868" spans="7:7" ht="14.25" customHeight="1" x14ac:dyDescent="0.35">
      <c r="G868" s="39"/>
    </row>
    <row r="869" spans="7:7" ht="14.25" customHeight="1" x14ac:dyDescent="0.35">
      <c r="G869" s="39"/>
    </row>
    <row r="870" spans="7:7" ht="14.25" customHeight="1" x14ac:dyDescent="0.35">
      <c r="G870" s="39"/>
    </row>
    <row r="871" spans="7:7" ht="14.25" customHeight="1" x14ac:dyDescent="0.35">
      <c r="G871" s="39"/>
    </row>
    <row r="872" spans="7:7" ht="14.25" customHeight="1" x14ac:dyDescent="0.35">
      <c r="G872" s="39"/>
    </row>
    <row r="873" spans="7:7" ht="14.25" customHeight="1" x14ac:dyDescent="0.35">
      <c r="G873" s="39"/>
    </row>
    <row r="874" spans="7:7" ht="14.25" customHeight="1" x14ac:dyDescent="0.35">
      <c r="G874" s="39"/>
    </row>
    <row r="875" spans="7:7" ht="14.25" customHeight="1" x14ac:dyDescent="0.35">
      <c r="G875" s="39"/>
    </row>
    <row r="876" spans="7:7" ht="14.25" customHeight="1" x14ac:dyDescent="0.35">
      <c r="G876" s="39"/>
    </row>
    <row r="877" spans="7:7" ht="14.25" customHeight="1" x14ac:dyDescent="0.35">
      <c r="G877" s="39"/>
    </row>
    <row r="878" spans="7:7" ht="14.25" customHeight="1" x14ac:dyDescent="0.35">
      <c r="G878" s="39"/>
    </row>
    <row r="879" spans="7:7" ht="14.25" customHeight="1" x14ac:dyDescent="0.35">
      <c r="G879" s="39"/>
    </row>
    <row r="880" spans="7:7" ht="14.25" customHeight="1" x14ac:dyDescent="0.35">
      <c r="G880" s="39"/>
    </row>
    <row r="881" spans="7:7" ht="14.25" customHeight="1" x14ac:dyDescent="0.35">
      <c r="G881" s="39"/>
    </row>
    <row r="882" spans="7:7" ht="14.25" customHeight="1" x14ac:dyDescent="0.35">
      <c r="G882" s="39"/>
    </row>
    <row r="883" spans="7:7" ht="14.25" customHeight="1" x14ac:dyDescent="0.35">
      <c r="G883" s="39"/>
    </row>
    <row r="884" spans="7:7" ht="14.25" customHeight="1" x14ac:dyDescent="0.35">
      <c r="G884" s="39"/>
    </row>
    <row r="885" spans="7:7" ht="14.25" customHeight="1" x14ac:dyDescent="0.35">
      <c r="G885" s="39"/>
    </row>
    <row r="886" spans="7:7" ht="14.25" customHeight="1" x14ac:dyDescent="0.35">
      <c r="G886" s="39"/>
    </row>
    <row r="887" spans="7:7" ht="14.25" customHeight="1" x14ac:dyDescent="0.35">
      <c r="G887" s="39"/>
    </row>
    <row r="888" spans="7:7" ht="14.25" customHeight="1" x14ac:dyDescent="0.35">
      <c r="G888" s="39"/>
    </row>
    <row r="889" spans="7:7" ht="14.25" customHeight="1" x14ac:dyDescent="0.35">
      <c r="G889" s="39"/>
    </row>
    <row r="890" spans="7:7" ht="14.25" customHeight="1" x14ac:dyDescent="0.35">
      <c r="G890" s="39"/>
    </row>
    <row r="891" spans="7:7" ht="14.25" customHeight="1" x14ac:dyDescent="0.35">
      <c r="G891" s="39"/>
    </row>
    <row r="892" spans="7:7" ht="14.25" customHeight="1" x14ac:dyDescent="0.35">
      <c r="G892" s="39"/>
    </row>
    <row r="893" spans="7:7" ht="14.25" customHeight="1" x14ac:dyDescent="0.35">
      <c r="G893" s="39"/>
    </row>
    <row r="894" spans="7:7" ht="14.25" customHeight="1" x14ac:dyDescent="0.35">
      <c r="G894" s="39"/>
    </row>
    <row r="895" spans="7:7" ht="14.25" customHeight="1" x14ac:dyDescent="0.35">
      <c r="G895" s="39"/>
    </row>
    <row r="896" spans="7:7" ht="14.25" customHeight="1" x14ac:dyDescent="0.35">
      <c r="G896" s="39"/>
    </row>
    <row r="897" spans="7:7" ht="14.25" customHeight="1" x14ac:dyDescent="0.35">
      <c r="G897" s="39"/>
    </row>
    <row r="898" spans="7:7" ht="14.25" customHeight="1" x14ac:dyDescent="0.35">
      <c r="G898" s="39"/>
    </row>
    <row r="899" spans="7:7" ht="14.25" customHeight="1" x14ac:dyDescent="0.35">
      <c r="G899" s="39"/>
    </row>
    <row r="900" spans="7:7" ht="14.25" customHeight="1" x14ac:dyDescent="0.35">
      <c r="G900" s="39"/>
    </row>
    <row r="901" spans="7:7" ht="14.25" customHeight="1" x14ac:dyDescent="0.35">
      <c r="G901" s="39"/>
    </row>
    <row r="902" spans="7:7" ht="14.25" customHeight="1" x14ac:dyDescent="0.35">
      <c r="G902" s="39"/>
    </row>
    <row r="903" spans="7:7" ht="14.25" customHeight="1" x14ac:dyDescent="0.35">
      <c r="G903" s="39"/>
    </row>
    <row r="904" spans="7:7" ht="14.25" customHeight="1" x14ac:dyDescent="0.35">
      <c r="G904" s="39"/>
    </row>
    <row r="905" spans="7:7" ht="14.25" customHeight="1" x14ac:dyDescent="0.35">
      <c r="G905" s="39"/>
    </row>
    <row r="906" spans="7:7" ht="14.25" customHeight="1" x14ac:dyDescent="0.35">
      <c r="G906" s="39"/>
    </row>
    <row r="907" spans="7:7" ht="14.25" customHeight="1" x14ac:dyDescent="0.35">
      <c r="G907" s="39"/>
    </row>
    <row r="908" spans="7:7" ht="14.25" customHeight="1" x14ac:dyDescent="0.35">
      <c r="G908" s="39"/>
    </row>
    <row r="909" spans="7:7" ht="14.25" customHeight="1" x14ac:dyDescent="0.35">
      <c r="G909" s="39"/>
    </row>
    <row r="910" spans="7:7" ht="14.25" customHeight="1" x14ac:dyDescent="0.35">
      <c r="G910" s="39"/>
    </row>
    <row r="911" spans="7:7" ht="14.25" customHeight="1" x14ac:dyDescent="0.35">
      <c r="G911" s="39"/>
    </row>
    <row r="912" spans="7:7" ht="14.25" customHeight="1" x14ac:dyDescent="0.35">
      <c r="G912" s="39"/>
    </row>
    <row r="913" spans="7:7" ht="14.25" customHeight="1" x14ac:dyDescent="0.35">
      <c r="G913" s="39"/>
    </row>
    <row r="914" spans="7:7" ht="14.25" customHeight="1" x14ac:dyDescent="0.35">
      <c r="G914" s="39"/>
    </row>
    <row r="915" spans="7:7" ht="14.25" customHeight="1" x14ac:dyDescent="0.35">
      <c r="G915" s="39"/>
    </row>
    <row r="916" spans="7:7" ht="14.25" customHeight="1" x14ac:dyDescent="0.35">
      <c r="G916" s="39"/>
    </row>
    <row r="917" spans="7:7" ht="14.25" customHeight="1" x14ac:dyDescent="0.35">
      <c r="G917" s="39"/>
    </row>
    <row r="918" spans="7:7" ht="14.25" customHeight="1" x14ac:dyDescent="0.35">
      <c r="G918" s="39"/>
    </row>
    <row r="919" spans="7:7" ht="14.25" customHeight="1" x14ac:dyDescent="0.35">
      <c r="G919" s="39"/>
    </row>
    <row r="920" spans="7:7" ht="14.25" customHeight="1" x14ac:dyDescent="0.35">
      <c r="G920" s="39"/>
    </row>
    <row r="921" spans="7:7" ht="14.25" customHeight="1" x14ac:dyDescent="0.35">
      <c r="G921" s="39"/>
    </row>
    <row r="922" spans="7:7" ht="14.25" customHeight="1" x14ac:dyDescent="0.35">
      <c r="G922" s="39"/>
    </row>
    <row r="923" spans="7:7" ht="14.25" customHeight="1" x14ac:dyDescent="0.35">
      <c r="G923" s="39"/>
    </row>
    <row r="924" spans="7:7" ht="14.25" customHeight="1" x14ac:dyDescent="0.35">
      <c r="G924" s="39"/>
    </row>
    <row r="925" spans="7:7" ht="14.25" customHeight="1" x14ac:dyDescent="0.35">
      <c r="G925" s="39"/>
    </row>
    <row r="926" spans="7:7" ht="14.25" customHeight="1" x14ac:dyDescent="0.35">
      <c r="G926" s="39"/>
    </row>
    <row r="927" spans="7:7" ht="14.25" customHeight="1" x14ac:dyDescent="0.35">
      <c r="G927" s="39"/>
    </row>
    <row r="928" spans="7:7" ht="14.25" customHeight="1" x14ac:dyDescent="0.35">
      <c r="G928" s="39"/>
    </row>
    <row r="929" spans="7:7" ht="14.25" customHeight="1" x14ac:dyDescent="0.35">
      <c r="G929" s="39"/>
    </row>
    <row r="930" spans="7:7" ht="14.25" customHeight="1" x14ac:dyDescent="0.35">
      <c r="G930" s="39"/>
    </row>
    <row r="931" spans="7:7" ht="14.25" customHeight="1" x14ac:dyDescent="0.35">
      <c r="G931" s="39"/>
    </row>
    <row r="932" spans="7:7" ht="14.25" customHeight="1" x14ac:dyDescent="0.35">
      <c r="G932" s="39"/>
    </row>
    <row r="933" spans="7:7" ht="14.25" customHeight="1" x14ac:dyDescent="0.35">
      <c r="G933" s="39"/>
    </row>
    <row r="934" spans="7:7" ht="14.25" customHeight="1" x14ac:dyDescent="0.35">
      <c r="G934" s="39"/>
    </row>
    <row r="935" spans="7:7" ht="14.25" customHeight="1" x14ac:dyDescent="0.35">
      <c r="G935" s="39"/>
    </row>
    <row r="936" spans="7:7" ht="14.25" customHeight="1" x14ac:dyDescent="0.35">
      <c r="G936" s="39"/>
    </row>
    <row r="937" spans="7:7" ht="14.25" customHeight="1" x14ac:dyDescent="0.35">
      <c r="G937" s="39"/>
    </row>
    <row r="938" spans="7:7" ht="14.25" customHeight="1" x14ac:dyDescent="0.35">
      <c r="G938" s="39"/>
    </row>
    <row r="939" spans="7:7" ht="14.25" customHeight="1" x14ac:dyDescent="0.35">
      <c r="G939" s="39"/>
    </row>
    <row r="940" spans="7:7" ht="14.25" customHeight="1" x14ac:dyDescent="0.35">
      <c r="G940" s="39"/>
    </row>
    <row r="941" spans="7:7" ht="14.25" customHeight="1" x14ac:dyDescent="0.35">
      <c r="G941" s="39"/>
    </row>
    <row r="942" spans="7:7" ht="14.25" customHeight="1" x14ac:dyDescent="0.35">
      <c r="G942" s="39"/>
    </row>
    <row r="943" spans="7:7" ht="14.25" customHeight="1" x14ac:dyDescent="0.35">
      <c r="G943" s="39"/>
    </row>
    <row r="944" spans="7:7" ht="14.25" customHeight="1" x14ac:dyDescent="0.35">
      <c r="G944" s="39"/>
    </row>
    <row r="945" spans="7:7" ht="14.25" customHeight="1" x14ac:dyDescent="0.35">
      <c r="G945" s="39"/>
    </row>
    <row r="946" spans="7:7" ht="14.25" customHeight="1" x14ac:dyDescent="0.35">
      <c r="G946" s="39"/>
    </row>
    <row r="947" spans="7:7" ht="14.25" customHeight="1" x14ac:dyDescent="0.35">
      <c r="G947" s="39"/>
    </row>
    <row r="948" spans="7:7" ht="14.25" customHeight="1" x14ac:dyDescent="0.35">
      <c r="G948" s="39"/>
    </row>
    <row r="949" spans="7:7" ht="14.25" customHeight="1" x14ac:dyDescent="0.35">
      <c r="G949" s="39"/>
    </row>
    <row r="950" spans="7:7" ht="14.25" customHeight="1" x14ac:dyDescent="0.35">
      <c r="G950" s="39"/>
    </row>
    <row r="951" spans="7:7" ht="14.25" customHeight="1" x14ac:dyDescent="0.35">
      <c r="G951" s="39"/>
    </row>
    <row r="952" spans="7:7" ht="14.25" customHeight="1" x14ac:dyDescent="0.35">
      <c r="G952" s="39"/>
    </row>
    <row r="953" spans="7:7" ht="14.25" customHeight="1" x14ac:dyDescent="0.35">
      <c r="G953" s="39"/>
    </row>
    <row r="954" spans="7:7" ht="14.25" customHeight="1" x14ac:dyDescent="0.35">
      <c r="G954" s="39"/>
    </row>
    <row r="955" spans="7:7" ht="14.25" customHeight="1" x14ac:dyDescent="0.35">
      <c r="G955" s="39"/>
    </row>
    <row r="956" spans="7:7" ht="14.25" customHeight="1" x14ac:dyDescent="0.35">
      <c r="G956" s="39"/>
    </row>
    <row r="957" spans="7:7" ht="14.25" customHeight="1" x14ac:dyDescent="0.35">
      <c r="G957" s="39"/>
    </row>
    <row r="958" spans="7:7" ht="14.25" customHeight="1" x14ac:dyDescent="0.35">
      <c r="G958" s="39"/>
    </row>
    <row r="959" spans="7:7" ht="14.25" customHeight="1" x14ac:dyDescent="0.35">
      <c r="G959" s="39"/>
    </row>
    <row r="960" spans="7:7" ht="14.25" customHeight="1" x14ac:dyDescent="0.35">
      <c r="G960" s="39"/>
    </row>
    <row r="961" spans="7:7" ht="14.25" customHeight="1" x14ac:dyDescent="0.35">
      <c r="G961" s="39"/>
    </row>
    <row r="962" spans="7:7" ht="14.25" customHeight="1" x14ac:dyDescent="0.35">
      <c r="G962" s="39"/>
    </row>
    <row r="963" spans="7:7" ht="14.25" customHeight="1" x14ac:dyDescent="0.35">
      <c r="G963" s="39"/>
    </row>
    <row r="964" spans="7:7" ht="14.25" customHeight="1" x14ac:dyDescent="0.35">
      <c r="G964" s="39"/>
    </row>
    <row r="965" spans="7:7" ht="14.25" customHeight="1" x14ac:dyDescent="0.35">
      <c r="G965" s="39"/>
    </row>
    <row r="966" spans="7:7" ht="14.25" customHeight="1" x14ac:dyDescent="0.35">
      <c r="G966" s="39"/>
    </row>
    <row r="967" spans="7:7" ht="14.25" customHeight="1" x14ac:dyDescent="0.35">
      <c r="G967" s="39"/>
    </row>
    <row r="968" spans="7:7" ht="14.25" customHeight="1" x14ac:dyDescent="0.35">
      <c r="G968" s="39"/>
    </row>
    <row r="969" spans="7:7" ht="14.25" customHeight="1" x14ac:dyDescent="0.35">
      <c r="G969" s="39"/>
    </row>
    <row r="970" spans="7:7" ht="14.25" customHeight="1" x14ac:dyDescent="0.35">
      <c r="G970" s="39"/>
    </row>
    <row r="971" spans="7:7" ht="14.25" customHeight="1" x14ac:dyDescent="0.35">
      <c r="G971" s="39"/>
    </row>
    <row r="972" spans="7:7" ht="14.25" customHeight="1" x14ac:dyDescent="0.35">
      <c r="G972" s="39"/>
    </row>
    <row r="973" spans="7:7" ht="14.25" customHeight="1" x14ac:dyDescent="0.35">
      <c r="G973" s="39"/>
    </row>
    <row r="974" spans="7:7" ht="14.25" customHeight="1" x14ac:dyDescent="0.35">
      <c r="G974" s="39"/>
    </row>
    <row r="975" spans="7:7" ht="14.25" customHeight="1" x14ac:dyDescent="0.35">
      <c r="G975" s="39"/>
    </row>
    <row r="976" spans="7:7" ht="14.25" customHeight="1" x14ac:dyDescent="0.35">
      <c r="G976" s="39"/>
    </row>
    <row r="977" spans="7:7" ht="14.25" customHeight="1" x14ac:dyDescent="0.35">
      <c r="G977" s="39"/>
    </row>
    <row r="978" spans="7:7" ht="14.25" customHeight="1" x14ac:dyDescent="0.35">
      <c r="G978" s="39"/>
    </row>
    <row r="979" spans="7:7" ht="14.25" customHeight="1" x14ac:dyDescent="0.35">
      <c r="G979" s="39"/>
    </row>
    <row r="980" spans="7:7" ht="14.25" customHeight="1" x14ac:dyDescent="0.35">
      <c r="G980" s="39"/>
    </row>
    <row r="981" spans="7:7" ht="14.25" customHeight="1" x14ac:dyDescent="0.35">
      <c r="G981" s="39"/>
    </row>
    <row r="982" spans="7:7" ht="14.25" customHeight="1" x14ac:dyDescent="0.35">
      <c r="G982" s="39"/>
    </row>
    <row r="983" spans="7:7" ht="14.25" customHeight="1" x14ac:dyDescent="0.35">
      <c r="G983" s="39"/>
    </row>
    <row r="984" spans="7:7" ht="14.25" customHeight="1" x14ac:dyDescent="0.35">
      <c r="G984" s="39"/>
    </row>
    <row r="985" spans="7:7" ht="14.25" customHeight="1" x14ac:dyDescent="0.35">
      <c r="G985" s="39"/>
    </row>
    <row r="986" spans="7:7" ht="14.25" customHeight="1" x14ac:dyDescent="0.35">
      <c r="G986" s="39"/>
    </row>
    <row r="987" spans="7:7" ht="14.25" customHeight="1" x14ac:dyDescent="0.35">
      <c r="G987" s="39"/>
    </row>
    <row r="988" spans="7:7" ht="14.25" customHeight="1" x14ac:dyDescent="0.35">
      <c r="G988" s="39"/>
    </row>
    <row r="989" spans="7:7" ht="14.25" customHeight="1" x14ac:dyDescent="0.35">
      <c r="G989" s="39"/>
    </row>
    <row r="990" spans="7:7" ht="14.25" customHeight="1" x14ac:dyDescent="0.35">
      <c r="G990" s="39"/>
    </row>
    <row r="991" spans="7:7" ht="14.25" customHeight="1" x14ac:dyDescent="0.35">
      <c r="G991" s="39"/>
    </row>
    <row r="992" spans="7:7" ht="14.25" customHeight="1" x14ac:dyDescent="0.35">
      <c r="G992" s="39"/>
    </row>
    <row r="993" spans="7:7" ht="14.25" customHeight="1" x14ac:dyDescent="0.35">
      <c r="G993" s="39"/>
    </row>
    <row r="994" spans="7:7" ht="14.25" customHeight="1" x14ac:dyDescent="0.35">
      <c r="G994" s="39"/>
    </row>
    <row r="995" spans="7:7" ht="14.25" customHeight="1" x14ac:dyDescent="0.35">
      <c r="G995" s="39"/>
    </row>
    <row r="996" spans="7:7" ht="14.25" customHeight="1" x14ac:dyDescent="0.35">
      <c r="G996" s="39"/>
    </row>
    <row r="997" spans="7:7" ht="14.25" customHeight="1" x14ac:dyDescent="0.35">
      <c r="G997" s="39"/>
    </row>
    <row r="998" spans="7:7" ht="14.25" customHeight="1" x14ac:dyDescent="0.35">
      <c r="G998" s="39"/>
    </row>
    <row r="999" spans="7:7" ht="14.25" customHeight="1" x14ac:dyDescent="0.35">
      <c r="G999" s="39"/>
    </row>
    <row r="1000" spans="7:7" ht="14.25" customHeight="1" x14ac:dyDescent="0.35">
      <c r="G1000" s="39"/>
    </row>
  </sheetData>
  <autoFilter ref="A1:K45" xr:uid="{00000000-0009-0000-0000-000001000000}"/>
  <hyperlinks>
    <hyperlink ref="I2" r:id="rId1" xr:uid="{00000000-0004-0000-0100-000000000000}"/>
    <hyperlink ref="I5" r:id="rId2" xr:uid="{00000000-0004-0000-0100-000001000000}"/>
    <hyperlink ref="I7" r:id="rId3" xr:uid="{00000000-0004-0000-0100-000002000000}"/>
    <hyperlink ref="I24" r:id="rId4" xr:uid="{00000000-0004-0000-0100-000003000000}"/>
    <hyperlink ref="I25" r:id="rId5" xr:uid="{00000000-0004-0000-0100-000004000000}"/>
    <hyperlink ref="I41" r:id="rId6" xr:uid="{00000000-0004-0000-0100-000005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2.6328125" defaultRowHeight="15" customHeight="1" x14ac:dyDescent="0.35"/>
  <cols>
    <col min="1" max="1" width="8.6328125" customWidth="1"/>
    <col min="2" max="2" width="18.7265625" customWidth="1"/>
    <col min="3" max="3" width="15.08984375" customWidth="1"/>
    <col min="4" max="4" width="33.08984375" customWidth="1"/>
    <col min="5" max="26" width="8.6328125" customWidth="1"/>
  </cols>
  <sheetData>
    <row r="1" spans="1:10" ht="14.25" customHeight="1" x14ac:dyDescent="0.35">
      <c r="A1" s="18" t="s">
        <v>5</v>
      </c>
      <c r="B1" s="18" t="s">
        <v>91</v>
      </c>
      <c r="C1" s="18" t="s">
        <v>92</v>
      </c>
      <c r="D1" s="18" t="s">
        <v>18</v>
      </c>
      <c r="H1" s="23" t="s">
        <v>5</v>
      </c>
      <c r="I1" s="23" t="s">
        <v>6</v>
      </c>
      <c r="J1" s="23" t="s">
        <v>7</v>
      </c>
    </row>
    <row r="2" spans="1:10" ht="14.25" customHeight="1" x14ac:dyDescent="0.35">
      <c r="A2" s="19">
        <v>1</v>
      </c>
      <c r="B2" s="24" t="s">
        <v>93</v>
      </c>
      <c r="C2" s="19">
        <v>174</v>
      </c>
      <c r="D2" s="19">
        <v>19.100000000000001</v>
      </c>
      <c r="H2" s="29">
        <v>1</v>
      </c>
      <c r="I2" s="7">
        <f t="shared" ref="I2:J2" si="0">(C2+C3)/2</f>
        <v>159</v>
      </c>
      <c r="J2" s="41">
        <f t="shared" si="0"/>
        <v>18.200000000000003</v>
      </c>
    </row>
    <row r="3" spans="1:10" ht="14.25" customHeight="1" x14ac:dyDescent="0.35">
      <c r="A3" s="19">
        <v>1</v>
      </c>
      <c r="B3" s="19" t="s">
        <v>94</v>
      </c>
      <c r="C3" s="19">
        <v>144</v>
      </c>
      <c r="D3" s="19">
        <v>17.3</v>
      </c>
      <c r="H3" s="31">
        <v>2</v>
      </c>
      <c r="I3" s="19">
        <f t="shared" ref="I3:J3" si="1">(C4+C5)/2</f>
        <v>156.5</v>
      </c>
      <c r="J3" s="32">
        <f t="shared" si="1"/>
        <v>18.700000000000003</v>
      </c>
    </row>
    <row r="4" spans="1:10" ht="14.25" customHeight="1" x14ac:dyDescent="0.35">
      <c r="A4" s="19">
        <v>2</v>
      </c>
      <c r="B4" s="19" t="s">
        <v>95</v>
      </c>
      <c r="C4" s="19">
        <v>169</v>
      </c>
      <c r="D4" s="19">
        <v>20.100000000000001</v>
      </c>
      <c r="H4" s="31">
        <v>3</v>
      </c>
      <c r="I4" s="19">
        <f t="shared" ref="I4:J4" si="2">(C6+C7)/2</f>
        <v>184</v>
      </c>
      <c r="J4" s="32">
        <f t="shared" si="2"/>
        <v>20.549999999999997</v>
      </c>
    </row>
    <row r="5" spans="1:10" ht="14.25" customHeight="1" x14ac:dyDescent="0.35">
      <c r="A5" s="19">
        <v>2</v>
      </c>
      <c r="B5" s="19" t="s">
        <v>96</v>
      </c>
      <c r="C5" s="19">
        <v>144</v>
      </c>
      <c r="D5" s="19">
        <v>17.3</v>
      </c>
      <c r="H5" s="31">
        <v>4</v>
      </c>
      <c r="I5" s="19">
        <f t="shared" ref="I5:J5" si="3">(C10+C11)/2</f>
        <v>245.5</v>
      </c>
      <c r="J5" s="32">
        <f t="shared" si="3"/>
        <v>22.549999999999997</v>
      </c>
    </row>
    <row r="6" spans="1:10" ht="14.25" customHeight="1" x14ac:dyDescent="0.35">
      <c r="A6" s="19">
        <v>3</v>
      </c>
      <c r="B6" s="19" t="s">
        <v>97</v>
      </c>
      <c r="C6" s="19">
        <v>183</v>
      </c>
      <c r="D6" s="19">
        <v>26.9</v>
      </c>
      <c r="H6" s="31">
        <v>5</v>
      </c>
      <c r="I6" s="19">
        <f t="shared" ref="I6:J6" si="4">C9</f>
        <v>188</v>
      </c>
      <c r="J6" s="32">
        <f t="shared" si="4"/>
        <v>14.6</v>
      </c>
    </row>
    <row r="7" spans="1:10" ht="14.25" customHeight="1" x14ac:dyDescent="0.35">
      <c r="A7" s="19">
        <v>3</v>
      </c>
      <c r="B7" s="19" t="s">
        <v>98</v>
      </c>
      <c r="C7" s="19">
        <v>185</v>
      </c>
      <c r="D7" s="19">
        <v>14.2</v>
      </c>
      <c r="H7" s="31">
        <v>6</v>
      </c>
      <c r="I7" s="19">
        <f t="shared" ref="I7:J7" si="5">C8</f>
        <v>102</v>
      </c>
      <c r="J7" s="32">
        <f t="shared" si="5"/>
        <v>11</v>
      </c>
    </row>
    <row r="8" spans="1:10" ht="14.25" customHeight="1" x14ac:dyDescent="0.35">
      <c r="A8" s="19">
        <v>6</v>
      </c>
      <c r="B8" s="19" t="s">
        <v>99</v>
      </c>
      <c r="C8" s="19">
        <v>102</v>
      </c>
      <c r="D8" s="19">
        <v>11</v>
      </c>
      <c r="H8" s="31">
        <v>7</v>
      </c>
      <c r="I8" s="19">
        <f t="shared" ref="I8:J8" si="6">(C12+C13+C14)/3</f>
        <v>163.33333333333334</v>
      </c>
      <c r="J8" s="32">
        <f t="shared" si="6"/>
        <v>55.133333333333333</v>
      </c>
    </row>
    <row r="9" spans="1:10" ht="14.25" customHeight="1" x14ac:dyDescent="0.35">
      <c r="A9" s="19">
        <v>5</v>
      </c>
      <c r="B9" s="19" t="s">
        <v>100</v>
      </c>
      <c r="C9" s="19">
        <v>188</v>
      </c>
      <c r="D9" s="19">
        <v>14.6</v>
      </c>
      <c r="H9" s="31">
        <v>8</v>
      </c>
      <c r="I9" s="19">
        <f t="shared" ref="I9:J9" si="7">C16</f>
        <v>693</v>
      </c>
      <c r="J9" s="32">
        <f t="shared" si="7"/>
        <v>309.3</v>
      </c>
    </row>
    <row r="10" spans="1:10" ht="14.25" customHeight="1" x14ac:dyDescent="0.35">
      <c r="A10" s="19">
        <v>4</v>
      </c>
      <c r="B10" s="19" t="s">
        <v>101</v>
      </c>
      <c r="C10" s="19">
        <v>252</v>
      </c>
      <c r="D10" s="19">
        <v>28.2</v>
      </c>
      <c r="E10" s="19" t="s">
        <v>102</v>
      </c>
      <c r="H10" s="33">
        <v>9</v>
      </c>
      <c r="I10" s="34">
        <f t="shared" ref="I10:J10" si="8">C17</f>
        <v>150</v>
      </c>
      <c r="J10" s="35">
        <f t="shared" si="8"/>
        <v>14.5</v>
      </c>
    </row>
    <row r="11" spans="1:10" ht="14.25" customHeight="1" x14ac:dyDescent="0.35">
      <c r="A11" s="19">
        <v>4</v>
      </c>
      <c r="B11" s="19" t="s">
        <v>103</v>
      </c>
      <c r="C11" s="19">
        <v>239</v>
      </c>
      <c r="D11" s="19">
        <v>16.899999999999999</v>
      </c>
    </row>
    <row r="12" spans="1:10" ht="14.25" customHeight="1" x14ac:dyDescent="0.35">
      <c r="A12" s="19">
        <v>7</v>
      </c>
      <c r="B12" s="19" t="s">
        <v>104</v>
      </c>
      <c r="C12" s="19">
        <v>163</v>
      </c>
      <c r="D12" s="19">
        <v>50.6</v>
      </c>
    </row>
    <row r="13" spans="1:10" ht="14.25" customHeight="1" x14ac:dyDescent="0.35">
      <c r="A13" s="19">
        <v>7</v>
      </c>
      <c r="B13" s="19" t="s">
        <v>105</v>
      </c>
      <c r="C13" s="19">
        <v>175</v>
      </c>
      <c r="D13" s="19">
        <v>50.6</v>
      </c>
    </row>
    <row r="14" spans="1:10" ht="14.25" customHeight="1" x14ac:dyDescent="0.35">
      <c r="A14" s="19">
        <v>7</v>
      </c>
      <c r="B14" s="19" t="s">
        <v>106</v>
      </c>
      <c r="C14" s="19">
        <v>152</v>
      </c>
      <c r="D14" s="19">
        <v>64.2</v>
      </c>
    </row>
    <row r="15" spans="1:10" ht="14.25" customHeight="1" x14ac:dyDescent="0.35">
      <c r="A15" s="19">
        <v>7</v>
      </c>
      <c r="B15" s="19" t="s">
        <v>107</v>
      </c>
      <c r="C15" s="19">
        <v>305</v>
      </c>
      <c r="D15" s="19">
        <v>35.4</v>
      </c>
    </row>
    <row r="16" spans="1:10" ht="14.25" customHeight="1" x14ac:dyDescent="0.35">
      <c r="A16" s="19">
        <v>8</v>
      </c>
      <c r="B16" s="19" t="s">
        <v>108</v>
      </c>
      <c r="C16" s="19">
        <v>693</v>
      </c>
      <c r="D16" s="19">
        <v>309.3</v>
      </c>
    </row>
    <row r="17" spans="1:5" ht="14.25" customHeight="1" x14ac:dyDescent="0.35">
      <c r="A17" s="42">
        <v>9</v>
      </c>
      <c r="B17" s="19" t="s">
        <v>109</v>
      </c>
      <c r="C17" s="19">
        <v>150</v>
      </c>
      <c r="D17" s="19">
        <v>14.5</v>
      </c>
      <c r="E17" s="19" t="s">
        <v>110</v>
      </c>
    </row>
    <row r="18" spans="1:5" ht="14.25" customHeight="1" x14ac:dyDescent="0.35"/>
    <row r="19" spans="1:5" ht="14.25" customHeight="1" x14ac:dyDescent="0.35"/>
    <row r="20" spans="1:5" ht="14.25" customHeight="1" x14ac:dyDescent="0.35"/>
    <row r="21" spans="1:5" ht="14.25" customHeight="1" x14ac:dyDescent="0.35"/>
    <row r="22" spans="1:5" ht="14.25" customHeight="1" x14ac:dyDescent="0.35"/>
    <row r="23" spans="1:5" ht="14.25" customHeight="1" x14ac:dyDescent="0.35"/>
    <row r="24" spans="1:5" ht="14.25" customHeight="1" x14ac:dyDescent="0.35"/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C1" workbookViewId="0"/>
  </sheetViews>
  <sheetFormatPr defaultColWidth="12.6328125" defaultRowHeight="15" customHeight="1" x14ac:dyDescent="0.35"/>
  <cols>
    <col min="1" max="1" width="7.7265625" hidden="1" customWidth="1"/>
    <col min="2" max="2" width="22.453125" hidden="1" customWidth="1"/>
    <col min="3" max="3" width="6.6328125" customWidth="1"/>
    <col min="4" max="4" width="67.6328125" customWidth="1"/>
    <col min="5" max="5" width="8.6328125" customWidth="1"/>
    <col min="6" max="6" width="18.08984375" customWidth="1"/>
    <col min="7" max="7" width="29.26953125" customWidth="1"/>
    <col min="8" max="26" width="8.6328125" customWidth="1"/>
  </cols>
  <sheetData>
    <row r="1" spans="1:11" ht="14.25" customHeight="1" x14ac:dyDescent="0.35">
      <c r="A1" s="18" t="s">
        <v>111</v>
      </c>
      <c r="B1" s="18" t="s">
        <v>112</v>
      </c>
      <c r="C1" s="18" t="s">
        <v>5</v>
      </c>
      <c r="D1" s="18" t="s">
        <v>113</v>
      </c>
      <c r="E1" s="18" t="s">
        <v>114</v>
      </c>
      <c r="F1" s="18" t="s">
        <v>115</v>
      </c>
      <c r="G1" s="18" t="s">
        <v>19</v>
      </c>
      <c r="I1" s="23" t="s">
        <v>5</v>
      </c>
      <c r="J1" s="23" t="s">
        <v>6</v>
      </c>
      <c r="K1" s="23" t="s">
        <v>7</v>
      </c>
    </row>
    <row r="2" spans="1:11" ht="14.25" customHeight="1" x14ac:dyDescent="0.35">
      <c r="A2" s="19" t="s">
        <v>116</v>
      </c>
      <c r="B2" s="19" t="s">
        <v>117</v>
      </c>
      <c r="C2" s="19">
        <v>1</v>
      </c>
      <c r="D2" s="24" t="s">
        <v>118</v>
      </c>
      <c r="E2" s="19">
        <v>175</v>
      </c>
      <c r="F2" s="19">
        <v>11.7</v>
      </c>
      <c r="I2" s="29">
        <v>1</v>
      </c>
      <c r="J2" s="7">
        <f t="shared" ref="J2:K2" si="0">(E2+E3)/2</f>
        <v>178.5</v>
      </c>
      <c r="K2" s="41">
        <f t="shared" si="0"/>
        <v>14.54</v>
      </c>
    </row>
    <row r="3" spans="1:11" ht="14.25" customHeight="1" x14ac:dyDescent="0.35">
      <c r="C3" s="19">
        <v>1</v>
      </c>
      <c r="D3" s="24" t="s">
        <v>119</v>
      </c>
      <c r="E3" s="19">
        <v>182</v>
      </c>
      <c r="F3" s="19">
        <v>17.38</v>
      </c>
      <c r="I3" s="31">
        <v>2</v>
      </c>
      <c r="J3" s="19">
        <f t="shared" ref="J3:K3" si="1">(E4+E5)/2</f>
        <v>192.5</v>
      </c>
      <c r="K3" s="32">
        <f t="shared" si="1"/>
        <v>14.46</v>
      </c>
    </row>
    <row r="4" spans="1:11" ht="14.25" customHeight="1" x14ac:dyDescent="0.35">
      <c r="A4" s="19" t="s">
        <v>116</v>
      </c>
      <c r="B4" s="19" t="s">
        <v>120</v>
      </c>
      <c r="C4" s="19">
        <v>2</v>
      </c>
      <c r="D4" s="19" t="s">
        <v>121</v>
      </c>
      <c r="E4" s="19">
        <v>193</v>
      </c>
      <c r="F4" s="19">
        <v>14.62</v>
      </c>
      <c r="I4" s="31">
        <v>3</v>
      </c>
      <c r="J4" s="19">
        <f t="shared" ref="J4:K4" si="2">(E6+E7)/2</f>
        <v>176.5</v>
      </c>
      <c r="K4" s="32">
        <f t="shared" si="2"/>
        <v>14.345000000000001</v>
      </c>
    </row>
    <row r="5" spans="1:11" ht="14.25" customHeight="1" x14ac:dyDescent="0.35">
      <c r="C5" s="19">
        <v>2</v>
      </c>
      <c r="D5" s="19" t="s">
        <v>122</v>
      </c>
      <c r="E5" s="19">
        <v>192</v>
      </c>
      <c r="F5" s="19">
        <v>14.3</v>
      </c>
      <c r="I5" s="31">
        <v>4</v>
      </c>
      <c r="J5" s="19">
        <f t="shared" ref="J5:K5" si="3">E8</f>
        <v>260.5</v>
      </c>
      <c r="K5" s="32">
        <f t="shared" si="3"/>
        <v>21.75</v>
      </c>
    </row>
    <row r="6" spans="1:11" ht="14.25" customHeight="1" x14ac:dyDescent="0.35">
      <c r="A6" s="19" t="s">
        <v>116</v>
      </c>
      <c r="B6" s="19" t="s">
        <v>123</v>
      </c>
      <c r="C6" s="19">
        <v>3</v>
      </c>
      <c r="D6" s="19" t="s">
        <v>124</v>
      </c>
      <c r="E6" s="19">
        <v>177</v>
      </c>
      <c r="F6" s="19">
        <v>17.48</v>
      </c>
      <c r="G6" s="19" t="s">
        <v>125</v>
      </c>
      <c r="I6" s="31">
        <v>5</v>
      </c>
      <c r="J6" s="19">
        <f t="shared" ref="J6:K6" si="4">E9</f>
        <v>79</v>
      </c>
      <c r="K6" s="32">
        <f t="shared" si="4"/>
        <v>15.4</v>
      </c>
    </row>
    <row r="7" spans="1:11" ht="14.25" customHeight="1" x14ac:dyDescent="0.35">
      <c r="C7" s="19">
        <v>3</v>
      </c>
      <c r="D7" s="19" t="s">
        <v>126</v>
      </c>
      <c r="E7" s="19">
        <v>176</v>
      </c>
      <c r="F7" s="19">
        <v>11.21</v>
      </c>
      <c r="I7" s="31">
        <v>6</v>
      </c>
      <c r="J7" s="19">
        <f t="shared" ref="J7:K7" si="5">E10</f>
        <v>241</v>
      </c>
      <c r="K7" s="32">
        <f t="shared" si="5"/>
        <v>15.65</v>
      </c>
    </row>
    <row r="8" spans="1:11" ht="14.25" customHeight="1" x14ac:dyDescent="0.35">
      <c r="A8" s="19" t="s">
        <v>116</v>
      </c>
      <c r="B8" s="19" t="s">
        <v>127</v>
      </c>
      <c r="C8" s="19">
        <v>4</v>
      </c>
      <c r="D8" s="19" t="s">
        <v>128</v>
      </c>
      <c r="E8" s="19">
        <f>(239+282)/2</f>
        <v>260.5</v>
      </c>
      <c r="F8" s="19">
        <f>(16.91+26.59)/2</f>
        <v>21.75</v>
      </c>
      <c r="G8" s="19" t="s">
        <v>129</v>
      </c>
      <c r="I8" s="31">
        <v>7</v>
      </c>
      <c r="J8" s="19">
        <f t="shared" ref="J8:K8" si="6">(E11+E12)/2</f>
        <v>382</v>
      </c>
      <c r="K8" s="32">
        <f t="shared" si="6"/>
        <v>47.994999999999997</v>
      </c>
    </row>
    <row r="9" spans="1:11" ht="14.25" customHeight="1" x14ac:dyDescent="0.35">
      <c r="A9" s="19" t="s">
        <v>116</v>
      </c>
      <c r="B9" s="19" t="s">
        <v>130</v>
      </c>
      <c r="C9" s="19">
        <v>5</v>
      </c>
      <c r="D9" s="19" t="s">
        <v>131</v>
      </c>
      <c r="E9" s="19">
        <v>79</v>
      </c>
      <c r="F9" s="19">
        <v>15.4</v>
      </c>
      <c r="G9" s="19" t="s">
        <v>132</v>
      </c>
      <c r="I9" s="31">
        <v>8</v>
      </c>
      <c r="J9" s="19">
        <f t="shared" ref="J9:K9" si="7">E14</f>
        <v>2205</v>
      </c>
      <c r="K9" s="32">
        <f t="shared" si="7"/>
        <v>580.88</v>
      </c>
    </row>
    <row r="10" spans="1:11" ht="14.25" customHeight="1" x14ac:dyDescent="0.35">
      <c r="A10" s="19" t="s">
        <v>116</v>
      </c>
      <c r="B10" s="19" t="s">
        <v>133</v>
      </c>
      <c r="C10" s="19">
        <v>6</v>
      </c>
      <c r="D10" s="19" t="s">
        <v>134</v>
      </c>
      <c r="E10" s="19">
        <v>241</v>
      </c>
      <c r="F10" s="19">
        <v>15.65</v>
      </c>
      <c r="G10" s="19" t="s">
        <v>135</v>
      </c>
      <c r="I10" s="33">
        <v>9</v>
      </c>
      <c r="J10" s="34">
        <f t="shared" ref="J10:K10" si="8">E15</f>
        <v>79</v>
      </c>
      <c r="K10" s="35">
        <f t="shared" si="8"/>
        <v>15.4</v>
      </c>
    </row>
    <row r="11" spans="1:11" ht="14.25" customHeight="1" x14ac:dyDescent="0.35">
      <c r="A11" s="19" t="s">
        <v>136</v>
      </c>
      <c r="B11" s="19" t="s">
        <v>137</v>
      </c>
      <c r="C11" s="19">
        <v>7</v>
      </c>
      <c r="D11" s="19" t="s">
        <v>138</v>
      </c>
      <c r="E11" s="19">
        <v>285</v>
      </c>
      <c r="F11" s="19">
        <v>33.799999999999997</v>
      </c>
    </row>
    <row r="12" spans="1:11" ht="14.25" customHeight="1" x14ac:dyDescent="0.35">
      <c r="C12" s="19">
        <v>7</v>
      </c>
      <c r="D12" s="19" t="s">
        <v>139</v>
      </c>
      <c r="E12" s="19">
        <v>479</v>
      </c>
      <c r="F12" s="19">
        <v>62.19</v>
      </c>
    </row>
    <row r="13" spans="1:11" ht="14.25" customHeight="1" x14ac:dyDescent="0.35">
      <c r="C13" s="19">
        <v>7</v>
      </c>
      <c r="D13" s="19" t="s">
        <v>140</v>
      </c>
      <c r="E13" s="19">
        <v>503</v>
      </c>
      <c r="F13" s="19">
        <v>90.18</v>
      </c>
    </row>
    <row r="14" spans="1:11" ht="14.25" customHeight="1" x14ac:dyDescent="0.35">
      <c r="A14" s="19" t="s">
        <v>136</v>
      </c>
      <c r="B14" s="19" t="s">
        <v>141</v>
      </c>
      <c r="C14" s="19">
        <v>8</v>
      </c>
      <c r="D14" s="24" t="s">
        <v>142</v>
      </c>
      <c r="E14" s="19">
        <v>2205</v>
      </c>
      <c r="F14" s="19">
        <v>580.88</v>
      </c>
    </row>
    <row r="15" spans="1:11" ht="14.25" customHeight="1" x14ac:dyDescent="0.35">
      <c r="A15" s="19" t="s">
        <v>143</v>
      </c>
      <c r="B15" s="19" t="s">
        <v>144</v>
      </c>
      <c r="C15" s="19">
        <v>9</v>
      </c>
      <c r="D15" s="19" t="s">
        <v>131</v>
      </c>
      <c r="E15" s="19">
        <v>79</v>
      </c>
      <c r="F15" s="19">
        <v>15.4</v>
      </c>
      <c r="G15" s="19" t="s">
        <v>132</v>
      </c>
    </row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/>
  </sheetViews>
  <sheetFormatPr defaultColWidth="12.6328125" defaultRowHeight="15" customHeight="1" x14ac:dyDescent="0.35"/>
  <cols>
    <col min="1" max="1" width="6.6328125" customWidth="1"/>
    <col min="2" max="2" width="34.90625" customWidth="1"/>
    <col min="3" max="3" width="9.453125" customWidth="1"/>
    <col min="4" max="9" width="8.6328125" customWidth="1"/>
    <col min="10" max="10" width="6.26953125" customWidth="1"/>
    <col min="11" max="11" width="7.453125" customWidth="1"/>
    <col min="12" max="12" width="9.6328125" customWidth="1"/>
    <col min="13" max="26" width="8.6328125" customWidth="1"/>
  </cols>
  <sheetData>
    <row r="1" spans="1:12" ht="14.25" customHeight="1" x14ac:dyDescent="0.35">
      <c r="A1" s="18" t="s">
        <v>5</v>
      </c>
      <c r="B1" s="18" t="s">
        <v>91</v>
      </c>
      <c r="C1" s="18" t="s">
        <v>145</v>
      </c>
      <c r="D1" s="18" t="s">
        <v>146</v>
      </c>
      <c r="E1" s="18"/>
      <c r="F1" s="18"/>
      <c r="G1" s="18"/>
      <c r="J1" s="23" t="s">
        <v>5</v>
      </c>
      <c r="K1" s="23" t="s">
        <v>6</v>
      </c>
      <c r="L1" s="23" t="s">
        <v>7</v>
      </c>
    </row>
    <row r="2" spans="1:12" ht="14.25" customHeight="1" x14ac:dyDescent="0.35">
      <c r="A2" s="19">
        <v>2</v>
      </c>
      <c r="B2" s="19" t="s">
        <v>147</v>
      </c>
      <c r="C2" s="19">
        <v>118</v>
      </c>
      <c r="D2" s="19">
        <v>21.5</v>
      </c>
      <c r="J2" s="29">
        <v>1</v>
      </c>
      <c r="K2" s="7">
        <f t="shared" ref="K2:L2" si="0">C3</f>
        <v>107</v>
      </c>
      <c r="L2" s="41">
        <f t="shared" si="0"/>
        <v>20</v>
      </c>
    </row>
    <row r="3" spans="1:12" ht="14.25" customHeight="1" x14ac:dyDescent="0.35">
      <c r="A3" s="19">
        <v>1</v>
      </c>
      <c r="B3" s="24" t="s">
        <v>148</v>
      </c>
      <c r="C3" s="19">
        <v>107</v>
      </c>
      <c r="D3" s="19">
        <v>20</v>
      </c>
      <c r="J3" s="31">
        <v>2</v>
      </c>
      <c r="K3" s="19">
        <f t="shared" ref="K3:L3" si="1">C2</f>
        <v>118</v>
      </c>
      <c r="L3" s="32">
        <f t="shared" si="1"/>
        <v>21.5</v>
      </c>
    </row>
    <row r="4" spans="1:12" ht="14.25" customHeight="1" x14ac:dyDescent="0.35">
      <c r="A4" s="19">
        <v>3</v>
      </c>
      <c r="B4" s="19" t="s">
        <v>149</v>
      </c>
      <c r="C4" s="19">
        <v>104</v>
      </c>
      <c r="D4" s="19">
        <v>17.7</v>
      </c>
      <c r="J4" s="31">
        <v>3</v>
      </c>
      <c r="K4" s="19">
        <f t="shared" ref="K4:L4" si="2">C4</f>
        <v>104</v>
      </c>
      <c r="L4" s="32">
        <f t="shared" si="2"/>
        <v>17.7</v>
      </c>
    </row>
    <row r="5" spans="1:12" ht="14.25" customHeight="1" x14ac:dyDescent="0.35">
      <c r="A5" s="19">
        <v>4</v>
      </c>
      <c r="B5" s="19" t="s">
        <v>150</v>
      </c>
      <c r="C5" s="19">
        <v>118</v>
      </c>
      <c r="D5" s="19">
        <v>19.3</v>
      </c>
      <c r="J5" s="31">
        <v>4</v>
      </c>
      <c r="K5" s="19">
        <f t="shared" ref="K5:L5" si="3">C5</f>
        <v>118</v>
      </c>
      <c r="L5" s="32">
        <f t="shared" si="3"/>
        <v>19.3</v>
      </c>
    </row>
    <row r="6" spans="1:12" ht="14.25" customHeight="1" x14ac:dyDescent="0.35">
      <c r="A6" s="19">
        <v>6</v>
      </c>
      <c r="B6" s="19" t="s">
        <v>151</v>
      </c>
      <c r="C6" s="19">
        <v>107</v>
      </c>
      <c r="D6" s="19">
        <v>18.5</v>
      </c>
      <c r="J6" s="31">
        <v>5</v>
      </c>
      <c r="K6" s="19">
        <f t="shared" ref="K6:L6" si="4">C10</f>
        <v>110</v>
      </c>
      <c r="L6" s="32">
        <f t="shared" si="4"/>
        <v>17.8</v>
      </c>
    </row>
    <row r="7" spans="1:12" ht="14.25" customHeight="1" x14ac:dyDescent="0.35">
      <c r="A7" s="19">
        <v>7</v>
      </c>
      <c r="B7" s="19" t="s">
        <v>152</v>
      </c>
      <c r="C7" s="19">
        <v>77.599999999999994</v>
      </c>
      <c r="D7" s="19">
        <v>25.3</v>
      </c>
      <c r="J7" s="31">
        <v>6</v>
      </c>
      <c r="K7" s="19">
        <f t="shared" ref="K7:L7" si="5">C6</f>
        <v>107</v>
      </c>
      <c r="L7" s="32">
        <f t="shared" si="5"/>
        <v>18.5</v>
      </c>
    </row>
    <row r="8" spans="1:12" ht="14.25" customHeight="1" x14ac:dyDescent="0.35">
      <c r="A8" s="19">
        <v>7</v>
      </c>
      <c r="B8" s="19" t="s">
        <v>153</v>
      </c>
      <c r="C8" s="19">
        <v>163</v>
      </c>
      <c r="D8" s="19">
        <v>44.4</v>
      </c>
      <c r="J8" s="31">
        <v>7</v>
      </c>
      <c r="K8" s="19">
        <f t="shared" ref="K8:L8" si="6">(C7+C8)/2</f>
        <v>120.3</v>
      </c>
      <c r="L8" s="32">
        <f t="shared" si="6"/>
        <v>34.85</v>
      </c>
    </row>
    <row r="9" spans="1:12" ht="14.25" customHeight="1" x14ac:dyDescent="0.35">
      <c r="A9" s="19">
        <v>8</v>
      </c>
      <c r="B9" s="19" t="s">
        <v>154</v>
      </c>
      <c r="C9" s="19">
        <v>406</v>
      </c>
      <c r="D9" s="19">
        <v>175</v>
      </c>
      <c r="J9" s="31">
        <v>8</v>
      </c>
      <c r="K9" s="19">
        <f t="shared" ref="K9:L9" si="7">C9</f>
        <v>406</v>
      </c>
      <c r="L9" s="32">
        <f t="shared" si="7"/>
        <v>175</v>
      </c>
    </row>
    <row r="10" spans="1:12" ht="14.25" customHeight="1" x14ac:dyDescent="0.35">
      <c r="A10" s="19">
        <v>5</v>
      </c>
      <c r="B10" s="19" t="s">
        <v>155</v>
      </c>
      <c r="C10" s="19">
        <v>110</v>
      </c>
      <c r="D10" s="19">
        <v>17.8</v>
      </c>
      <c r="J10" s="33">
        <v>9</v>
      </c>
      <c r="K10" s="34">
        <f t="shared" ref="K10:L10" si="8">(C11+C12)/2</f>
        <v>124</v>
      </c>
      <c r="L10" s="35">
        <f t="shared" si="8"/>
        <v>21.2</v>
      </c>
    </row>
    <row r="11" spans="1:12" ht="14.25" customHeight="1" x14ac:dyDescent="0.35">
      <c r="A11" s="19">
        <v>9</v>
      </c>
      <c r="B11" s="19" t="s">
        <v>156</v>
      </c>
      <c r="C11" s="19">
        <v>115</v>
      </c>
      <c r="D11" s="19">
        <v>21.2</v>
      </c>
    </row>
    <row r="12" spans="1:12" ht="14.25" customHeight="1" x14ac:dyDescent="0.35">
      <c r="A12" s="19">
        <v>9</v>
      </c>
      <c r="B12" s="19" t="s">
        <v>157</v>
      </c>
      <c r="C12" s="19">
        <v>133</v>
      </c>
      <c r="D12" s="19">
        <v>21.2</v>
      </c>
    </row>
    <row r="13" spans="1:12" ht="14.25" customHeight="1" x14ac:dyDescent="0.35"/>
    <row r="14" spans="1:12" ht="14.25" customHeight="1" x14ac:dyDescent="0.35"/>
    <row r="15" spans="1:12" ht="14.25" customHeight="1" x14ac:dyDescent="0.35"/>
    <row r="16" spans="1:1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00"/>
  <sheetViews>
    <sheetView workbookViewId="0"/>
  </sheetViews>
  <sheetFormatPr defaultColWidth="12.6328125" defaultRowHeight="15" customHeight="1" x14ac:dyDescent="0.35"/>
  <cols>
    <col min="1" max="1" width="8.6328125" customWidth="1"/>
    <col min="2" max="2" width="122.36328125" hidden="1" customWidth="1"/>
    <col min="3" max="3" width="26.08984375" hidden="1" customWidth="1"/>
    <col min="4" max="7" width="8.6328125" hidden="1" customWidth="1"/>
    <col min="8" max="8" width="34" hidden="1" customWidth="1"/>
    <col min="9" max="12" width="8.6328125" hidden="1" customWidth="1"/>
    <col min="13" max="13" width="23.08984375" customWidth="1"/>
    <col min="14" max="30" width="8.6328125" customWidth="1"/>
  </cols>
  <sheetData>
    <row r="1" spans="1:30" ht="14.25" customHeight="1" x14ac:dyDescent="0.3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0" ht="14.25" customHeight="1" x14ac:dyDescent="0.35">
      <c r="A2" s="43"/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0" ht="14.25" customHeight="1" x14ac:dyDescent="0.45">
      <c r="A3" s="45" t="s">
        <v>158</v>
      </c>
      <c r="B3" s="46"/>
      <c r="C3" s="110" t="s">
        <v>2</v>
      </c>
      <c r="D3" s="103"/>
      <c r="E3" s="103"/>
      <c r="F3" s="103"/>
      <c r="G3" s="104"/>
      <c r="H3" s="111" t="s">
        <v>159</v>
      </c>
      <c r="I3" s="103"/>
      <c r="J3" s="103"/>
      <c r="K3" s="103"/>
      <c r="L3" s="104"/>
      <c r="M3" s="112" t="s">
        <v>160</v>
      </c>
      <c r="N3" s="103"/>
      <c r="O3" s="103"/>
      <c r="P3" s="103"/>
      <c r="Q3" s="104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0" ht="14.25" customHeight="1" x14ac:dyDescent="0.35">
      <c r="A4" s="47" t="s">
        <v>5</v>
      </c>
      <c r="B4" s="48" t="s">
        <v>161</v>
      </c>
      <c r="C4" s="49" t="s">
        <v>162</v>
      </c>
      <c r="D4" s="49" t="s">
        <v>163</v>
      </c>
      <c r="E4" s="49" t="s">
        <v>164</v>
      </c>
      <c r="F4" s="49" t="s">
        <v>165</v>
      </c>
      <c r="G4" s="49" t="s">
        <v>166</v>
      </c>
      <c r="H4" s="50" t="s">
        <v>162</v>
      </c>
      <c r="I4" s="50" t="s">
        <v>163</v>
      </c>
      <c r="J4" s="50" t="s">
        <v>164</v>
      </c>
      <c r="K4" s="50" t="s">
        <v>165</v>
      </c>
      <c r="L4" s="50" t="s">
        <v>166</v>
      </c>
      <c r="M4" s="51" t="s">
        <v>162</v>
      </c>
      <c r="N4" s="51" t="s">
        <v>163</v>
      </c>
      <c r="O4" s="51" t="s">
        <v>164</v>
      </c>
      <c r="P4" s="51" t="s">
        <v>165</v>
      </c>
      <c r="Q4" s="51" t="s">
        <v>166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spans="1:30" ht="14.25" customHeight="1" x14ac:dyDescent="0.45">
      <c r="A5" s="52" t="s">
        <v>167</v>
      </c>
      <c r="B5" s="53" t="s">
        <v>168</v>
      </c>
      <c r="C5" s="54" t="s">
        <v>169</v>
      </c>
      <c r="D5" s="54" t="s">
        <v>170</v>
      </c>
      <c r="E5" s="54" t="s">
        <v>171</v>
      </c>
      <c r="F5" s="55" t="s">
        <v>172</v>
      </c>
      <c r="G5" s="56" t="s">
        <v>173</v>
      </c>
      <c r="H5" s="54" t="s">
        <v>174</v>
      </c>
      <c r="I5" s="54" t="s">
        <v>170</v>
      </c>
      <c r="J5" s="54" t="s">
        <v>171</v>
      </c>
      <c r="K5" s="55" t="s">
        <v>175</v>
      </c>
      <c r="L5" s="56" t="s">
        <v>176</v>
      </c>
      <c r="M5" s="57" t="s">
        <v>177</v>
      </c>
      <c r="N5" s="54" t="s">
        <v>170</v>
      </c>
      <c r="O5" s="54" t="s">
        <v>171</v>
      </c>
      <c r="P5" s="55" t="s">
        <v>178</v>
      </c>
      <c r="Q5" s="56" t="s">
        <v>179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1:30" ht="14.25" customHeight="1" x14ac:dyDescent="0.45">
      <c r="A6" s="52" t="s">
        <v>167</v>
      </c>
      <c r="B6" s="53" t="s">
        <v>168</v>
      </c>
      <c r="C6" s="54" t="s">
        <v>180</v>
      </c>
      <c r="D6" s="54" t="s">
        <v>181</v>
      </c>
      <c r="E6" s="54" t="s">
        <v>182</v>
      </c>
      <c r="F6" s="55" t="s">
        <v>183</v>
      </c>
      <c r="G6" s="56" t="s">
        <v>184</v>
      </c>
      <c r="H6" s="54" t="s">
        <v>185</v>
      </c>
      <c r="I6" s="54" t="s">
        <v>181</v>
      </c>
      <c r="J6" s="54" t="s">
        <v>182</v>
      </c>
      <c r="K6" s="55" t="s">
        <v>186</v>
      </c>
      <c r="L6" s="56" t="s">
        <v>187</v>
      </c>
      <c r="M6" s="57" t="s">
        <v>177</v>
      </c>
      <c r="N6" s="54" t="s">
        <v>181</v>
      </c>
      <c r="O6" s="54" t="s">
        <v>182</v>
      </c>
      <c r="P6" s="55" t="s">
        <v>188</v>
      </c>
      <c r="Q6" s="56" t="s">
        <v>179</v>
      </c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spans="1:30" ht="14.25" customHeight="1" x14ac:dyDescent="0.45">
      <c r="A7" s="52" t="s">
        <v>189</v>
      </c>
      <c r="B7" s="53" t="s">
        <v>190</v>
      </c>
      <c r="C7" s="54" t="s">
        <v>191</v>
      </c>
      <c r="D7" s="54" t="s">
        <v>170</v>
      </c>
      <c r="E7" s="58" t="s">
        <v>192</v>
      </c>
      <c r="F7" s="55" t="s">
        <v>193</v>
      </c>
      <c r="G7" s="56" t="s">
        <v>194</v>
      </c>
      <c r="H7" s="54" t="s">
        <v>195</v>
      </c>
      <c r="I7" s="54" t="s">
        <v>170</v>
      </c>
      <c r="J7" s="59" t="s">
        <v>196</v>
      </c>
      <c r="K7" s="55" t="s">
        <v>197</v>
      </c>
      <c r="L7" s="56" t="s">
        <v>198</v>
      </c>
      <c r="M7" s="57" t="s">
        <v>199</v>
      </c>
      <c r="N7" s="54" t="s">
        <v>170</v>
      </c>
      <c r="O7" s="59" t="s">
        <v>171</v>
      </c>
      <c r="P7" s="55" t="s">
        <v>200</v>
      </c>
      <c r="Q7" s="56" t="s">
        <v>179</v>
      </c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0" ht="14.25" customHeight="1" x14ac:dyDescent="0.45">
      <c r="A8" s="52" t="s">
        <v>189</v>
      </c>
      <c r="B8" s="53" t="s">
        <v>190</v>
      </c>
      <c r="C8" s="54" t="s">
        <v>201</v>
      </c>
      <c r="D8" s="54" t="s">
        <v>181</v>
      </c>
      <c r="E8" s="58" t="s">
        <v>182</v>
      </c>
      <c r="F8" s="55" t="s">
        <v>202</v>
      </c>
      <c r="G8" s="56" t="s">
        <v>203</v>
      </c>
      <c r="H8" s="54" t="s">
        <v>204</v>
      </c>
      <c r="I8" s="54" t="s">
        <v>181</v>
      </c>
      <c r="J8" s="59" t="s">
        <v>182</v>
      </c>
      <c r="K8" s="55" t="s">
        <v>205</v>
      </c>
      <c r="L8" s="56" t="s">
        <v>206</v>
      </c>
      <c r="M8" s="57" t="s">
        <v>199</v>
      </c>
      <c r="N8" s="54" t="s">
        <v>181</v>
      </c>
      <c r="O8" s="60" t="s">
        <v>207</v>
      </c>
      <c r="P8" s="55" t="s">
        <v>208</v>
      </c>
      <c r="Q8" s="56" t="s">
        <v>179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spans="1:30" ht="14.25" customHeight="1" x14ac:dyDescent="0.45">
      <c r="A9" s="52" t="s">
        <v>209</v>
      </c>
      <c r="B9" s="53" t="s">
        <v>210</v>
      </c>
      <c r="C9" s="54" t="s">
        <v>98</v>
      </c>
      <c r="D9" s="54" t="s">
        <v>170</v>
      </c>
      <c r="E9" s="54" t="s">
        <v>211</v>
      </c>
      <c r="F9" s="55" t="s">
        <v>206</v>
      </c>
      <c r="G9" s="56" t="s">
        <v>212</v>
      </c>
      <c r="H9" s="54" t="s">
        <v>213</v>
      </c>
      <c r="I9" s="54" t="s">
        <v>170</v>
      </c>
      <c r="J9" s="54" t="s">
        <v>214</v>
      </c>
      <c r="K9" s="55" t="s">
        <v>215</v>
      </c>
      <c r="L9" s="61" t="s">
        <v>179</v>
      </c>
      <c r="M9" s="57" t="s">
        <v>216</v>
      </c>
      <c r="N9" s="54" t="s">
        <v>170</v>
      </c>
      <c r="O9" s="54" t="s">
        <v>217</v>
      </c>
      <c r="P9" s="55" t="s">
        <v>218</v>
      </c>
      <c r="Q9" s="56" t="s">
        <v>179</v>
      </c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spans="1:30" ht="14.25" customHeight="1" x14ac:dyDescent="0.45">
      <c r="A10" s="52" t="s">
        <v>209</v>
      </c>
      <c r="B10" s="53" t="s">
        <v>210</v>
      </c>
      <c r="C10" s="54" t="s">
        <v>97</v>
      </c>
      <c r="D10" s="54" t="s">
        <v>181</v>
      </c>
      <c r="E10" s="62" t="s">
        <v>219</v>
      </c>
      <c r="F10" s="55" t="s">
        <v>220</v>
      </c>
      <c r="G10" s="56" t="s">
        <v>221</v>
      </c>
      <c r="H10" s="54" t="s">
        <v>222</v>
      </c>
      <c r="I10" s="54" t="s">
        <v>170</v>
      </c>
      <c r="J10" s="54" t="s">
        <v>223</v>
      </c>
      <c r="K10" s="62" t="s">
        <v>179</v>
      </c>
      <c r="L10" s="56" t="s">
        <v>224</v>
      </c>
      <c r="M10" s="54" t="s">
        <v>179</v>
      </c>
      <c r="N10" s="54" t="s">
        <v>179</v>
      </c>
      <c r="O10" s="54" t="s">
        <v>179</v>
      </c>
      <c r="P10" s="62" t="s">
        <v>179</v>
      </c>
      <c r="Q10" s="56" t="s">
        <v>179</v>
      </c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spans="1:30" ht="14.25" customHeight="1" x14ac:dyDescent="0.45">
      <c r="A11" s="52" t="s">
        <v>225</v>
      </c>
      <c r="B11" s="53" t="s">
        <v>226</v>
      </c>
      <c r="C11" s="54" t="s">
        <v>101</v>
      </c>
      <c r="D11" s="54" t="s">
        <v>170</v>
      </c>
      <c r="E11" s="60" t="s">
        <v>227</v>
      </c>
      <c r="F11" s="55" t="s">
        <v>179</v>
      </c>
      <c r="G11" s="56" t="s">
        <v>228</v>
      </c>
      <c r="H11" s="54" t="s">
        <v>229</v>
      </c>
      <c r="I11" s="54" t="s">
        <v>170</v>
      </c>
      <c r="J11" s="54" t="s">
        <v>230</v>
      </c>
      <c r="K11" s="62" t="s">
        <v>179</v>
      </c>
      <c r="L11" s="56" t="s">
        <v>231</v>
      </c>
      <c r="M11" s="57" t="s">
        <v>232</v>
      </c>
      <c r="N11" s="54" t="s">
        <v>170</v>
      </c>
      <c r="O11" s="60" t="s">
        <v>233</v>
      </c>
      <c r="P11" s="55" t="s">
        <v>179</v>
      </c>
      <c r="Q11" s="56" t="s">
        <v>234</v>
      </c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</row>
    <row r="12" spans="1:30" ht="14.25" customHeight="1" x14ac:dyDescent="0.45">
      <c r="A12" s="52" t="s">
        <v>225</v>
      </c>
      <c r="B12" s="53" t="s">
        <v>226</v>
      </c>
      <c r="C12" s="54" t="s">
        <v>235</v>
      </c>
      <c r="D12" s="54" t="s">
        <v>181</v>
      </c>
      <c r="E12" s="54" t="s">
        <v>236</v>
      </c>
      <c r="F12" s="55" t="s">
        <v>179</v>
      </c>
      <c r="G12" s="56" t="s">
        <v>237</v>
      </c>
      <c r="H12" s="54" t="s">
        <v>179</v>
      </c>
      <c r="I12" s="54" t="s">
        <v>181</v>
      </c>
      <c r="J12" s="54" t="s">
        <v>179</v>
      </c>
      <c r="K12" s="62" t="s">
        <v>179</v>
      </c>
      <c r="L12" s="63" t="s">
        <v>179</v>
      </c>
      <c r="M12" s="54" t="s">
        <v>179</v>
      </c>
      <c r="N12" s="54" t="s">
        <v>179</v>
      </c>
      <c r="O12" s="54" t="s">
        <v>179</v>
      </c>
      <c r="P12" s="62" t="s">
        <v>179</v>
      </c>
      <c r="Q12" s="61" t="s">
        <v>179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 spans="1:30" ht="14.25" customHeight="1" x14ac:dyDescent="0.45">
      <c r="A13" s="52" t="s">
        <v>238</v>
      </c>
      <c r="B13" s="53" t="s">
        <v>239</v>
      </c>
      <c r="C13" s="54" t="s">
        <v>179</v>
      </c>
      <c r="D13" s="54" t="s">
        <v>179</v>
      </c>
      <c r="E13" s="54" t="s">
        <v>179</v>
      </c>
      <c r="F13" s="54" t="s">
        <v>179</v>
      </c>
      <c r="G13" s="63" t="s">
        <v>179</v>
      </c>
      <c r="H13" s="54" t="s">
        <v>240</v>
      </c>
      <c r="I13" s="54" t="s">
        <v>170</v>
      </c>
      <c r="J13" s="54" t="s">
        <v>241</v>
      </c>
      <c r="K13" s="62" t="s">
        <v>179</v>
      </c>
      <c r="L13" s="56" t="s">
        <v>242</v>
      </c>
      <c r="M13" s="57" t="s">
        <v>243</v>
      </c>
      <c r="N13" s="54" t="s">
        <v>170</v>
      </c>
      <c r="O13" s="54" t="s">
        <v>244</v>
      </c>
      <c r="P13" s="55" t="s">
        <v>179</v>
      </c>
      <c r="Q13" s="56" t="s">
        <v>245</v>
      </c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spans="1:30" ht="14.25" customHeight="1" x14ac:dyDescent="0.45">
      <c r="A14" s="64" t="s">
        <v>246</v>
      </c>
      <c r="B14" s="65" t="s">
        <v>247</v>
      </c>
      <c r="C14" s="62" t="s">
        <v>248</v>
      </c>
      <c r="D14" s="62" t="s">
        <v>170</v>
      </c>
      <c r="E14" s="58" t="s">
        <v>249</v>
      </c>
      <c r="F14" s="55" t="s">
        <v>250</v>
      </c>
      <c r="G14" s="56" t="s">
        <v>179</v>
      </c>
      <c r="H14" s="62" t="s">
        <v>251</v>
      </c>
      <c r="I14" s="62" t="s">
        <v>170</v>
      </c>
      <c r="J14" s="66" t="s">
        <v>171</v>
      </c>
      <c r="K14" s="55" t="s">
        <v>252</v>
      </c>
      <c r="L14" s="61" t="s">
        <v>179</v>
      </c>
      <c r="M14" s="62" t="s">
        <v>253</v>
      </c>
      <c r="N14" s="62" t="s">
        <v>170</v>
      </c>
      <c r="O14" s="62" t="s">
        <v>196</v>
      </c>
      <c r="P14" s="55" t="s">
        <v>254</v>
      </c>
      <c r="Q14" s="56" t="s">
        <v>179</v>
      </c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</row>
    <row r="15" spans="1:30" ht="14.25" customHeight="1" x14ac:dyDescent="0.45">
      <c r="A15" s="52" t="s">
        <v>246</v>
      </c>
      <c r="B15" s="53" t="s">
        <v>247</v>
      </c>
      <c r="C15" s="54" t="s">
        <v>255</v>
      </c>
      <c r="D15" s="54" t="s">
        <v>170</v>
      </c>
      <c r="E15" s="54" t="s">
        <v>192</v>
      </c>
      <c r="F15" s="55" t="s">
        <v>256</v>
      </c>
      <c r="G15" s="56" t="s">
        <v>179</v>
      </c>
      <c r="H15" s="54" t="s">
        <v>179</v>
      </c>
      <c r="I15" s="54" t="s">
        <v>179</v>
      </c>
      <c r="J15" s="54" t="s">
        <v>179</v>
      </c>
      <c r="K15" s="62" t="s">
        <v>179</v>
      </c>
      <c r="L15" s="61" t="s">
        <v>179</v>
      </c>
      <c r="M15" s="54" t="s">
        <v>179</v>
      </c>
      <c r="N15" s="54" t="s">
        <v>179</v>
      </c>
      <c r="O15" s="54" t="s">
        <v>179</v>
      </c>
      <c r="P15" s="62" t="s">
        <v>179</v>
      </c>
      <c r="Q15" s="56" t="s">
        <v>179</v>
      </c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 spans="1:30" ht="14.25" customHeight="1" x14ac:dyDescent="0.45">
      <c r="A16" s="52" t="s">
        <v>257</v>
      </c>
      <c r="B16" s="53" t="s">
        <v>258</v>
      </c>
      <c r="C16" s="54" t="s">
        <v>259</v>
      </c>
      <c r="D16" s="54" t="s">
        <v>170</v>
      </c>
      <c r="E16" s="54" t="s">
        <v>260</v>
      </c>
      <c r="F16" s="55" t="s">
        <v>261</v>
      </c>
      <c r="G16" s="56" t="s">
        <v>179</v>
      </c>
      <c r="H16" s="54" t="s">
        <v>262</v>
      </c>
      <c r="I16" s="54" t="s">
        <v>170</v>
      </c>
      <c r="J16" s="59" t="s">
        <v>263</v>
      </c>
      <c r="K16" s="55" t="s">
        <v>264</v>
      </c>
      <c r="L16" s="61" t="s">
        <v>179</v>
      </c>
      <c r="M16" s="57" t="s">
        <v>265</v>
      </c>
      <c r="N16" s="54" t="s">
        <v>170</v>
      </c>
      <c r="O16" s="54" t="s">
        <v>263</v>
      </c>
      <c r="P16" s="55" t="s">
        <v>266</v>
      </c>
      <c r="Q16" s="56" t="s">
        <v>179</v>
      </c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</row>
    <row r="17" spans="1:30" ht="14.25" customHeight="1" x14ac:dyDescent="0.45">
      <c r="A17" s="52" t="s">
        <v>257</v>
      </c>
      <c r="B17" s="53" t="s">
        <v>258</v>
      </c>
      <c r="C17" s="54" t="s">
        <v>105</v>
      </c>
      <c r="D17" s="54" t="s">
        <v>181</v>
      </c>
      <c r="E17" s="54" t="s">
        <v>267</v>
      </c>
      <c r="F17" s="55" t="s">
        <v>261</v>
      </c>
      <c r="G17" s="56" t="s">
        <v>179</v>
      </c>
      <c r="H17" s="59" t="s">
        <v>268</v>
      </c>
      <c r="I17" s="54" t="s">
        <v>170</v>
      </c>
      <c r="J17" s="60" t="s">
        <v>263</v>
      </c>
      <c r="K17" s="55" t="s">
        <v>269</v>
      </c>
      <c r="L17" s="61" t="s">
        <v>179</v>
      </c>
      <c r="M17" s="57" t="s">
        <v>270</v>
      </c>
      <c r="N17" s="54" t="s">
        <v>170</v>
      </c>
      <c r="O17" s="54" t="s">
        <v>271</v>
      </c>
      <c r="P17" s="55" t="s">
        <v>179</v>
      </c>
      <c r="Q17" s="56" t="s">
        <v>179</v>
      </c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</row>
    <row r="18" spans="1:30" ht="14.25" customHeight="1" x14ac:dyDescent="0.45">
      <c r="A18" s="52" t="s">
        <v>257</v>
      </c>
      <c r="B18" s="53" t="s">
        <v>258</v>
      </c>
      <c r="C18" s="54" t="s">
        <v>106</v>
      </c>
      <c r="D18" s="54" t="s">
        <v>170</v>
      </c>
      <c r="E18" s="54" t="s">
        <v>272</v>
      </c>
      <c r="F18" s="55" t="s">
        <v>273</v>
      </c>
      <c r="G18" s="56" t="s">
        <v>179</v>
      </c>
      <c r="H18" s="54" t="s">
        <v>274</v>
      </c>
      <c r="I18" s="54" t="s">
        <v>181</v>
      </c>
      <c r="J18" s="54" t="s">
        <v>275</v>
      </c>
      <c r="K18" s="55" t="s">
        <v>183</v>
      </c>
      <c r="L18" s="61" t="s">
        <v>179</v>
      </c>
      <c r="M18" s="54" t="s">
        <v>179</v>
      </c>
      <c r="N18" s="54" t="s">
        <v>179</v>
      </c>
      <c r="O18" s="54" t="s">
        <v>179</v>
      </c>
      <c r="P18" s="55" t="s">
        <v>179</v>
      </c>
      <c r="Q18" s="56" t="s">
        <v>179</v>
      </c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</row>
    <row r="19" spans="1:30" ht="14.25" customHeight="1" x14ac:dyDescent="0.45">
      <c r="A19" s="52" t="s">
        <v>257</v>
      </c>
      <c r="B19" s="53" t="s">
        <v>258</v>
      </c>
      <c r="C19" s="54" t="s">
        <v>276</v>
      </c>
      <c r="D19" s="54" t="s">
        <v>181</v>
      </c>
      <c r="E19" s="54" t="s">
        <v>277</v>
      </c>
      <c r="F19" s="55" t="s">
        <v>273</v>
      </c>
      <c r="G19" s="56" t="s">
        <v>179</v>
      </c>
      <c r="H19" s="54" t="s">
        <v>278</v>
      </c>
      <c r="I19" s="54" t="s">
        <v>181</v>
      </c>
      <c r="J19" s="54" t="s">
        <v>279</v>
      </c>
      <c r="K19" s="55" t="s">
        <v>280</v>
      </c>
      <c r="L19" s="61" t="s">
        <v>179</v>
      </c>
      <c r="M19" s="54" t="s">
        <v>179</v>
      </c>
      <c r="N19" s="54" t="s">
        <v>179</v>
      </c>
      <c r="O19" s="54" t="s">
        <v>179</v>
      </c>
      <c r="P19" s="55" t="s">
        <v>179</v>
      </c>
      <c r="Q19" s="56" t="s">
        <v>179</v>
      </c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</row>
    <row r="20" spans="1:30" ht="14.25" customHeight="1" x14ac:dyDescent="0.45">
      <c r="A20" s="52" t="s">
        <v>281</v>
      </c>
      <c r="B20" s="53" t="s">
        <v>282</v>
      </c>
      <c r="C20" s="54" t="s">
        <v>283</v>
      </c>
      <c r="D20" s="54" t="s">
        <v>170</v>
      </c>
      <c r="E20" s="58" t="s">
        <v>284</v>
      </c>
      <c r="F20" s="55" t="s">
        <v>285</v>
      </c>
      <c r="G20" s="56" t="s">
        <v>286</v>
      </c>
      <c r="H20" s="54" t="s">
        <v>287</v>
      </c>
      <c r="I20" s="54" t="s">
        <v>170</v>
      </c>
      <c r="J20" s="54" t="s">
        <v>288</v>
      </c>
      <c r="K20" s="62" t="s">
        <v>179</v>
      </c>
      <c r="L20" s="56" t="s">
        <v>289</v>
      </c>
      <c r="M20" s="68" t="s">
        <v>290</v>
      </c>
      <c r="N20" s="54" t="s">
        <v>170</v>
      </c>
      <c r="O20" s="60" t="s">
        <v>291</v>
      </c>
      <c r="P20" s="55" t="s">
        <v>179</v>
      </c>
      <c r="Q20" s="56" t="s">
        <v>292</v>
      </c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</row>
    <row r="21" spans="1:30" ht="14.25" customHeight="1" x14ac:dyDescent="0.45">
      <c r="A21" s="52" t="s">
        <v>293</v>
      </c>
      <c r="B21" s="53" t="s">
        <v>294</v>
      </c>
      <c r="C21" s="69" t="s">
        <v>179</v>
      </c>
      <c r="D21" s="69" t="s">
        <v>179</v>
      </c>
      <c r="E21" s="69" t="s">
        <v>179</v>
      </c>
      <c r="F21" s="44"/>
      <c r="G21" s="70"/>
      <c r="H21" s="69" t="s">
        <v>240</v>
      </c>
      <c r="I21" s="69" t="s">
        <v>170</v>
      </c>
      <c r="J21" s="69" t="s">
        <v>241</v>
      </c>
      <c r="K21" s="71" t="s">
        <v>178</v>
      </c>
      <c r="L21" s="72" t="s">
        <v>179</v>
      </c>
      <c r="M21" s="73" t="s">
        <v>295</v>
      </c>
      <c r="N21" s="69" t="s">
        <v>170</v>
      </c>
      <c r="O21" s="69" t="s">
        <v>296</v>
      </c>
      <c r="P21" s="71" t="s">
        <v>297</v>
      </c>
      <c r="Q21" s="74" t="s">
        <v>179</v>
      </c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</row>
    <row r="22" spans="1:30" ht="14.25" customHeight="1" x14ac:dyDescent="0.3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</row>
    <row r="23" spans="1:30" ht="14.25" customHeight="1" x14ac:dyDescent="0.35">
      <c r="A23" s="75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</row>
    <row r="24" spans="1:30" ht="14.25" customHeight="1" x14ac:dyDescent="0.35">
      <c r="A24" s="7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ht="14.25" customHeight="1" x14ac:dyDescent="0.3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ht="14.25" customHeight="1" x14ac:dyDescent="0.35">
      <c r="A26" s="76" t="s">
        <v>298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ht="14.25" customHeight="1" x14ac:dyDescent="0.35">
      <c r="A27" s="77" t="s">
        <v>299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ht="14.25" customHeight="1" x14ac:dyDescent="0.35">
      <c r="A28" s="77" t="s">
        <v>300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ht="14.25" customHeight="1" x14ac:dyDescent="0.35">
      <c r="A29" s="77" t="s">
        <v>301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ht="14.25" customHeight="1" x14ac:dyDescent="0.35">
      <c r="A30" s="77" t="s">
        <v>302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ht="14.25" customHeight="1" x14ac:dyDescent="0.3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ht="14.25" customHeight="1" x14ac:dyDescent="0.35">
      <c r="A32" s="77" t="s">
        <v>303</v>
      </c>
      <c r="B32" s="43"/>
      <c r="C32" s="43"/>
      <c r="D32" s="43"/>
      <c r="E32" s="43"/>
      <c r="F32" s="43"/>
      <c r="G32" s="43"/>
      <c r="H32" s="77" t="s">
        <v>304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ht="14.25" customHeight="1" x14ac:dyDescent="0.35">
      <c r="A33" s="77" t="s">
        <v>305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4.25" customHeight="1" x14ac:dyDescent="0.35">
      <c r="A34" s="77" t="s">
        <v>306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</row>
    <row r="35" spans="1:30" ht="14.25" customHeight="1" x14ac:dyDescent="0.35">
      <c r="A35" s="77" t="s">
        <v>307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</row>
    <row r="36" spans="1:30" ht="14.25" customHeight="1" x14ac:dyDescent="0.35">
      <c r="A36" s="77" t="s">
        <v>308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spans="1:30" ht="14.25" customHeight="1" x14ac:dyDescent="0.35">
      <c r="A37" s="77" t="s">
        <v>309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  <row r="38" spans="1:30" ht="14.25" customHeight="1" x14ac:dyDescent="0.35">
      <c r="A38" s="77" t="s">
        <v>310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</row>
    <row r="39" spans="1:30" ht="14.25" customHeight="1" x14ac:dyDescent="0.3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  <row r="40" spans="1:30" ht="14.25" customHeight="1" x14ac:dyDescent="0.3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</row>
    <row r="41" spans="1:30" ht="14.25" customHeight="1" x14ac:dyDescent="0.3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 spans="1:30" ht="14.25" customHeight="1" x14ac:dyDescent="0.3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</row>
    <row r="43" spans="1:30" ht="14.25" customHeight="1" x14ac:dyDescent="0.3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</row>
    <row r="44" spans="1:30" ht="14.25" customHeight="1" x14ac:dyDescent="0.3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</row>
    <row r="45" spans="1:30" ht="14.25" customHeight="1" x14ac:dyDescent="0.3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</row>
    <row r="46" spans="1:30" ht="14.25" customHeight="1" x14ac:dyDescent="0.3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</row>
    <row r="47" spans="1:30" ht="14.25" customHeight="1" x14ac:dyDescent="0.3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</row>
    <row r="48" spans="1:30" ht="14.25" customHeight="1" x14ac:dyDescent="0.3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</row>
    <row r="49" spans="1:30" ht="14.25" customHeight="1" x14ac:dyDescent="0.3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</row>
    <row r="50" spans="1:30" ht="14.25" customHeight="1" x14ac:dyDescent="0.3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</row>
    <row r="51" spans="1:30" ht="14.25" customHeight="1" x14ac:dyDescent="0.3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</row>
    <row r="52" spans="1:30" ht="14.25" customHeight="1" x14ac:dyDescent="0.3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</row>
    <row r="53" spans="1:30" ht="14.25" customHeight="1" x14ac:dyDescent="0.3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</row>
    <row r="54" spans="1:30" ht="14.25" customHeight="1" x14ac:dyDescent="0.3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</row>
    <row r="55" spans="1:30" ht="14.25" customHeight="1" x14ac:dyDescent="0.3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</row>
    <row r="56" spans="1:30" ht="14.25" customHeight="1" x14ac:dyDescent="0.3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</row>
    <row r="57" spans="1:30" ht="14.25" customHeight="1" x14ac:dyDescent="0.3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spans="1:30" ht="14.25" customHeight="1" x14ac:dyDescent="0.3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</row>
    <row r="59" spans="1:30" ht="14.25" customHeight="1" x14ac:dyDescent="0.3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</row>
    <row r="60" spans="1:30" ht="14.25" customHeight="1" x14ac:dyDescent="0.3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</row>
    <row r="61" spans="1:30" ht="14.25" customHeight="1" x14ac:dyDescent="0.3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</row>
    <row r="62" spans="1:30" ht="14.25" customHeight="1" x14ac:dyDescent="0.3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</row>
    <row r="63" spans="1:30" ht="14.25" customHeight="1" x14ac:dyDescent="0.3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</row>
    <row r="64" spans="1:30" ht="14.25" customHeight="1" x14ac:dyDescent="0.3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</row>
    <row r="65" spans="1:30" ht="14.25" customHeight="1" x14ac:dyDescent="0.3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</row>
    <row r="66" spans="1:30" ht="14.25" customHeight="1" x14ac:dyDescent="0.3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</row>
    <row r="67" spans="1:30" ht="14.25" customHeight="1" x14ac:dyDescent="0.3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</row>
    <row r="68" spans="1:30" ht="14.25" customHeight="1" x14ac:dyDescent="0.3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</row>
    <row r="69" spans="1:30" ht="14.25" customHeight="1" x14ac:dyDescent="0.3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</row>
    <row r="70" spans="1:30" ht="14.25" customHeight="1" x14ac:dyDescent="0.3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</row>
    <row r="71" spans="1:30" ht="14.25" customHeight="1" x14ac:dyDescent="0.3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</row>
    <row r="72" spans="1:30" ht="14.25" customHeight="1" x14ac:dyDescent="0.3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</row>
    <row r="73" spans="1:30" ht="14.25" customHeight="1" x14ac:dyDescent="0.3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</row>
    <row r="74" spans="1:30" ht="14.25" customHeight="1" x14ac:dyDescent="0.3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</row>
    <row r="75" spans="1:30" ht="14.25" customHeight="1" x14ac:dyDescent="0.3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</row>
    <row r="76" spans="1:30" ht="14.25" customHeight="1" x14ac:dyDescent="0.3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</row>
    <row r="77" spans="1:30" ht="14.25" customHeight="1" x14ac:dyDescent="0.3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</row>
    <row r="78" spans="1:30" ht="14.25" customHeight="1" x14ac:dyDescent="0.3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</row>
    <row r="79" spans="1:30" ht="14.25" customHeight="1" x14ac:dyDescent="0.3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</row>
    <row r="80" spans="1:30" ht="14.25" customHeight="1" x14ac:dyDescent="0.3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</row>
    <row r="81" spans="1:30" ht="14.25" customHeight="1" x14ac:dyDescent="0.3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</row>
    <row r="82" spans="1:30" ht="14.25" customHeight="1" x14ac:dyDescent="0.3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 spans="1:30" ht="14.25" customHeight="1" x14ac:dyDescent="0.3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 spans="1:30" ht="14.25" customHeight="1" x14ac:dyDescent="0.3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</row>
    <row r="85" spans="1:30" ht="14.25" customHeight="1" x14ac:dyDescent="0.3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</row>
    <row r="86" spans="1:30" ht="14.25" customHeight="1" x14ac:dyDescent="0.3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</row>
    <row r="87" spans="1:30" ht="14.25" customHeight="1" x14ac:dyDescent="0.3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</row>
    <row r="88" spans="1:30" ht="14.25" customHeight="1" x14ac:dyDescent="0.3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</row>
    <row r="89" spans="1:30" ht="14.25" customHeight="1" x14ac:dyDescent="0.3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</row>
    <row r="90" spans="1:30" ht="14.25" customHeight="1" x14ac:dyDescent="0.3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</row>
    <row r="91" spans="1:30" ht="14.25" customHeight="1" x14ac:dyDescent="0.3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</row>
    <row r="92" spans="1:30" ht="14.25" customHeight="1" x14ac:dyDescent="0.3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</row>
    <row r="93" spans="1:30" ht="14.25" customHeight="1" x14ac:dyDescent="0.3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</row>
    <row r="94" spans="1:30" ht="14.25" customHeight="1" x14ac:dyDescent="0.3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</row>
    <row r="95" spans="1:30" ht="14.25" customHeight="1" x14ac:dyDescent="0.3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</row>
    <row r="96" spans="1:30" ht="14.25" customHeight="1" x14ac:dyDescent="0.3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</row>
    <row r="97" spans="1:30" ht="14.25" customHeight="1" x14ac:dyDescent="0.3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</row>
    <row r="98" spans="1:30" ht="14.25" customHeight="1" x14ac:dyDescent="0.3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</row>
    <row r="99" spans="1:30" ht="14.25" customHeight="1" x14ac:dyDescent="0.3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</row>
    <row r="100" spans="1:30" ht="14.25" customHeight="1" x14ac:dyDescent="0.3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</row>
    <row r="101" spans="1:30" ht="14.25" customHeight="1" x14ac:dyDescent="0.3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</row>
    <row r="102" spans="1:30" ht="14.25" customHeight="1" x14ac:dyDescent="0.3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</row>
    <row r="103" spans="1:30" ht="14.25" customHeight="1" x14ac:dyDescent="0.3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</row>
    <row r="104" spans="1:30" ht="14.25" customHeight="1" x14ac:dyDescent="0.3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</row>
    <row r="105" spans="1:30" ht="14.25" customHeight="1" x14ac:dyDescent="0.3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</row>
    <row r="106" spans="1:30" ht="14.25" customHeight="1" x14ac:dyDescent="0.3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</row>
    <row r="107" spans="1:30" ht="14.25" customHeight="1" x14ac:dyDescent="0.3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</row>
    <row r="108" spans="1:30" ht="14.25" customHeight="1" x14ac:dyDescent="0.3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</row>
    <row r="109" spans="1:30" ht="14.25" customHeight="1" x14ac:dyDescent="0.3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</row>
    <row r="110" spans="1:30" ht="14.25" customHeight="1" x14ac:dyDescent="0.3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</row>
    <row r="111" spans="1:30" ht="14.25" customHeight="1" x14ac:dyDescent="0.3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</row>
    <row r="112" spans="1:30" ht="14.25" customHeight="1" x14ac:dyDescent="0.3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</row>
    <row r="113" spans="1:30" ht="14.25" customHeight="1" x14ac:dyDescent="0.3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</row>
    <row r="114" spans="1:30" ht="14.25" customHeight="1" x14ac:dyDescent="0.3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</row>
    <row r="115" spans="1:30" ht="14.25" customHeight="1" x14ac:dyDescent="0.3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</row>
    <row r="116" spans="1:30" ht="14.25" customHeight="1" x14ac:dyDescent="0.3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</row>
    <row r="117" spans="1:30" ht="14.25" customHeight="1" x14ac:dyDescent="0.3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</row>
    <row r="118" spans="1:30" ht="14.25" customHeight="1" x14ac:dyDescent="0.3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</row>
    <row r="119" spans="1:30" ht="14.25" customHeight="1" x14ac:dyDescent="0.3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</row>
    <row r="120" spans="1:30" ht="14.25" customHeight="1" x14ac:dyDescent="0.3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</row>
    <row r="121" spans="1:30" ht="14.25" customHeight="1" x14ac:dyDescent="0.3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</row>
    <row r="122" spans="1:30" ht="14.25" customHeight="1" x14ac:dyDescent="0.3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</row>
    <row r="123" spans="1:30" ht="14.25" customHeight="1" x14ac:dyDescent="0.3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</row>
    <row r="124" spans="1:30" ht="14.25" customHeight="1" x14ac:dyDescent="0.3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</row>
    <row r="125" spans="1:30" ht="14.25" customHeight="1" x14ac:dyDescent="0.3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</row>
    <row r="126" spans="1:30" ht="14.25" customHeight="1" x14ac:dyDescent="0.3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</row>
    <row r="127" spans="1:30" ht="14.25" customHeight="1" x14ac:dyDescent="0.3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</row>
    <row r="128" spans="1:30" ht="14.25" customHeight="1" x14ac:dyDescent="0.3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</row>
    <row r="129" spans="1:30" ht="14.25" customHeight="1" x14ac:dyDescent="0.3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</row>
    <row r="130" spans="1:30" ht="14.25" customHeight="1" x14ac:dyDescent="0.3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</row>
    <row r="131" spans="1:30" ht="14.25" customHeight="1" x14ac:dyDescent="0.3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</row>
    <row r="132" spans="1:30" ht="14.25" customHeight="1" x14ac:dyDescent="0.3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</row>
    <row r="133" spans="1:30" ht="14.25" customHeight="1" x14ac:dyDescent="0.3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</row>
    <row r="134" spans="1:30" ht="14.25" customHeight="1" x14ac:dyDescent="0.3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</row>
    <row r="135" spans="1:30" ht="14.25" customHeight="1" x14ac:dyDescent="0.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</row>
    <row r="136" spans="1:30" ht="14.25" customHeight="1" x14ac:dyDescent="0.3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</row>
    <row r="137" spans="1:30" ht="14.25" customHeight="1" x14ac:dyDescent="0.3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</row>
    <row r="138" spans="1:30" ht="14.25" customHeight="1" x14ac:dyDescent="0.3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</row>
    <row r="139" spans="1:30" ht="14.25" customHeight="1" x14ac:dyDescent="0.3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</row>
    <row r="140" spans="1:30" ht="14.25" customHeight="1" x14ac:dyDescent="0.3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</row>
    <row r="141" spans="1:30" ht="14.25" customHeight="1" x14ac:dyDescent="0.3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</row>
    <row r="142" spans="1:30" ht="14.25" customHeight="1" x14ac:dyDescent="0.3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</row>
    <row r="143" spans="1:30" ht="14.25" customHeight="1" x14ac:dyDescent="0.3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</row>
    <row r="144" spans="1:30" ht="14.25" customHeight="1" x14ac:dyDescent="0.3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</row>
    <row r="145" spans="1:30" ht="14.25" customHeight="1" x14ac:dyDescent="0.3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</row>
    <row r="146" spans="1:30" ht="14.25" customHeight="1" x14ac:dyDescent="0.3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</row>
    <row r="147" spans="1:30" ht="14.25" customHeight="1" x14ac:dyDescent="0.3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</row>
    <row r="148" spans="1:30" ht="14.25" customHeight="1" x14ac:dyDescent="0.3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</row>
    <row r="149" spans="1:30" ht="14.25" customHeight="1" x14ac:dyDescent="0.3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</row>
    <row r="150" spans="1:30" ht="14.25" customHeight="1" x14ac:dyDescent="0.3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</row>
    <row r="151" spans="1:30" ht="14.25" customHeight="1" x14ac:dyDescent="0.3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</row>
    <row r="152" spans="1:30" ht="14.25" customHeight="1" x14ac:dyDescent="0.3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</row>
    <row r="153" spans="1:30" ht="14.25" customHeight="1" x14ac:dyDescent="0.3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</row>
    <row r="154" spans="1:30" ht="14.25" customHeight="1" x14ac:dyDescent="0.3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</row>
    <row r="155" spans="1:30" ht="14.25" customHeight="1" x14ac:dyDescent="0.3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</row>
    <row r="156" spans="1:30" ht="14.25" customHeight="1" x14ac:dyDescent="0.3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</row>
    <row r="157" spans="1:30" ht="14.25" customHeight="1" x14ac:dyDescent="0.3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</row>
    <row r="158" spans="1:30" ht="14.25" customHeight="1" x14ac:dyDescent="0.3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</row>
    <row r="159" spans="1:30" ht="14.25" customHeight="1" x14ac:dyDescent="0.3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</row>
    <row r="160" spans="1:30" ht="14.25" customHeight="1" x14ac:dyDescent="0.3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</row>
    <row r="161" spans="1:30" ht="14.25" customHeight="1" x14ac:dyDescent="0.3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</row>
    <row r="162" spans="1:30" ht="14.25" customHeight="1" x14ac:dyDescent="0.3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</row>
    <row r="163" spans="1:30" ht="14.25" customHeight="1" x14ac:dyDescent="0.3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</row>
    <row r="164" spans="1:30" ht="14.25" customHeight="1" x14ac:dyDescent="0.3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</row>
    <row r="165" spans="1:30" ht="14.25" customHeight="1" x14ac:dyDescent="0.3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</row>
    <row r="166" spans="1:30" ht="14.25" customHeight="1" x14ac:dyDescent="0.3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</row>
    <row r="167" spans="1:30" ht="14.25" customHeight="1" x14ac:dyDescent="0.3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</row>
    <row r="168" spans="1:30" ht="14.25" customHeight="1" x14ac:dyDescent="0.3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</row>
    <row r="169" spans="1:30" ht="14.25" customHeight="1" x14ac:dyDescent="0.3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</row>
    <row r="170" spans="1:30" ht="14.25" customHeight="1" x14ac:dyDescent="0.3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</row>
    <row r="171" spans="1:30" ht="14.25" customHeight="1" x14ac:dyDescent="0.3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</row>
    <row r="172" spans="1:30" ht="14.25" customHeight="1" x14ac:dyDescent="0.3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</row>
    <row r="173" spans="1:30" ht="14.25" customHeight="1" x14ac:dyDescent="0.3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</row>
    <row r="174" spans="1:30" ht="14.25" customHeight="1" x14ac:dyDescent="0.3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</row>
    <row r="175" spans="1:30" ht="14.25" customHeight="1" x14ac:dyDescent="0.3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</row>
    <row r="176" spans="1:30" ht="14.25" customHeight="1" x14ac:dyDescent="0.3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</row>
    <row r="177" spans="1:30" ht="14.25" customHeight="1" x14ac:dyDescent="0.3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</row>
    <row r="178" spans="1:30" ht="14.25" customHeight="1" x14ac:dyDescent="0.3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</row>
    <row r="179" spans="1:30" ht="14.25" customHeight="1" x14ac:dyDescent="0.3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</row>
    <row r="180" spans="1:30" ht="14.25" customHeight="1" x14ac:dyDescent="0.3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</row>
    <row r="181" spans="1:30" ht="14.25" customHeight="1" x14ac:dyDescent="0.3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</row>
    <row r="182" spans="1:30" ht="14.25" customHeight="1" x14ac:dyDescent="0.3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</row>
    <row r="183" spans="1:30" ht="14.25" customHeight="1" x14ac:dyDescent="0.3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</row>
    <row r="184" spans="1:30" ht="14.25" customHeight="1" x14ac:dyDescent="0.3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</row>
    <row r="185" spans="1:30" ht="14.25" customHeight="1" x14ac:dyDescent="0.3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</row>
    <row r="186" spans="1:30" ht="14.25" customHeight="1" x14ac:dyDescent="0.3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</row>
    <row r="187" spans="1:30" ht="14.25" customHeight="1" x14ac:dyDescent="0.3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</row>
    <row r="188" spans="1:30" ht="14.25" customHeight="1" x14ac:dyDescent="0.3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</row>
    <row r="189" spans="1:30" ht="14.25" customHeight="1" x14ac:dyDescent="0.3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</row>
    <row r="190" spans="1:30" ht="14.25" customHeight="1" x14ac:dyDescent="0.3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</row>
    <row r="191" spans="1:30" ht="14.25" customHeight="1" x14ac:dyDescent="0.3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</row>
    <row r="192" spans="1:30" ht="14.25" customHeight="1" x14ac:dyDescent="0.3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</row>
    <row r="193" spans="1:30" ht="14.25" customHeight="1" x14ac:dyDescent="0.3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</row>
    <row r="194" spans="1:30" ht="14.25" customHeight="1" x14ac:dyDescent="0.3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</row>
    <row r="195" spans="1:30" ht="14.25" customHeight="1" x14ac:dyDescent="0.3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</row>
    <row r="196" spans="1:30" ht="14.25" customHeight="1" x14ac:dyDescent="0.3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</row>
    <row r="197" spans="1:30" ht="14.25" customHeight="1" x14ac:dyDescent="0.3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</row>
    <row r="198" spans="1:30" ht="14.25" customHeight="1" x14ac:dyDescent="0.3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</row>
    <row r="199" spans="1:30" ht="14.25" customHeight="1" x14ac:dyDescent="0.3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</row>
    <row r="200" spans="1:30" ht="14.25" customHeight="1" x14ac:dyDescent="0.3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</row>
    <row r="201" spans="1:30" ht="14.25" customHeight="1" x14ac:dyDescent="0.3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</row>
    <row r="202" spans="1:30" ht="14.25" customHeight="1" x14ac:dyDescent="0.3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</row>
    <row r="203" spans="1:30" ht="14.25" customHeight="1" x14ac:dyDescent="0.3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</row>
    <row r="204" spans="1:30" ht="14.25" customHeight="1" x14ac:dyDescent="0.3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</row>
    <row r="205" spans="1:30" ht="14.25" customHeight="1" x14ac:dyDescent="0.3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</row>
    <row r="206" spans="1:30" ht="14.25" customHeight="1" x14ac:dyDescent="0.3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</row>
    <row r="207" spans="1:30" ht="14.25" customHeight="1" x14ac:dyDescent="0.3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</row>
    <row r="208" spans="1:30" ht="14.25" customHeight="1" x14ac:dyDescent="0.3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</row>
    <row r="209" spans="1:30" ht="14.25" customHeight="1" x14ac:dyDescent="0.3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</row>
    <row r="210" spans="1:30" ht="14.25" customHeight="1" x14ac:dyDescent="0.3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</row>
    <row r="211" spans="1:30" ht="14.25" customHeight="1" x14ac:dyDescent="0.3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</row>
    <row r="212" spans="1:30" ht="14.25" customHeight="1" x14ac:dyDescent="0.3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</row>
    <row r="213" spans="1:30" ht="14.25" customHeight="1" x14ac:dyDescent="0.3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</row>
    <row r="214" spans="1:30" ht="14.25" customHeight="1" x14ac:dyDescent="0.3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</row>
    <row r="215" spans="1:30" ht="14.25" customHeight="1" x14ac:dyDescent="0.3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</row>
    <row r="216" spans="1:30" ht="14.25" customHeight="1" x14ac:dyDescent="0.3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</row>
    <row r="217" spans="1:30" ht="14.25" customHeight="1" x14ac:dyDescent="0.3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</row>
    <row r="218" spans="1:30" ht="14.25" customHeight="1" x14ac:dyDescent="0.3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</row>
    <row r="219" spans="1:30" ht="14.25" customHeight="1" x14ac:dyDescent="0.3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</row>
    <row r="220" spans="1:30" ht="14.25" customHeight="1" x14ac:dyDescent="0.3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</row>
    <row r="221" spans="1:30" ht="14.25" customHeight="1" x14ac:dyDescent="0.3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</row>
    <row r="222" spans="1:30" ht="14.25" customHeight="1" x14ac:dyDescent="0.3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</row>
    <row r="223" spans="1:30" ht="14.25" customHeight="1" x14ac:dyDescent="0.3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</row>
    <row r="224" spans="1:30" ht="14.25" customHeight="1" x14ac:dyDescent="0.3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</row>
    <row r="225" spans="1:30" ht="14.25" customHeight="1" x14ac:dyDescent="0.3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</row>
    <row r="226" spans="1:30" ht="14.25" customHeight="1" x14ac:dyDescent="0.3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</row>
    <row r="227" spans="1:30" ht="14.25" customHeight="1" x14ac:dyDescent="0.3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</row>
    <row r="228" spans="1:30" ht="14.25" customHeight="1" x14ac:dyDescent="0.3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</row>
    <row r="229" spans="1:30" ht="14.25" customHeight="1" x14ac:dyDescent="0.3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</row>
    <row r="230" spans="1:30" ht="14.25" customHeight="1" x14ac:dyDescent="0.3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</row>
    <row r="231" spans="1:30" ht="14.25" customHeight="1" x14ac:dyDescent="0.3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</row>
    <row r="232" spans="1:30" ht="14.25" customHeight="1" x14ac:dyDescent="0.3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</row>
    <row r="233" spans="1:30" ht="14.25" customHeight="1" x14ac:dyDescent="0.3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</row>
    <row r="234" spans="1:30" ht="14.25" customHeight="1" x14ac:dyDescent="0.3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</row>
    <row r="235" spans="1:30" ht="14.25" customHeight="1" x14ac:dyDescent="0.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</row>
    <row r="236" spans="1:30" ht="14.25" customHeight="1" x14ac:dyDescent="0.3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</row>
    <row r="237" spans="1:30" ht="14.25" customHeight="1" x14ac:dyDescent="0.3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</row>
    <row r="238" spans="1:30" ht="14.25" customHeight="1" x14ac:dyDescent="0.3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</row>
    <row r="239" spans="1:30" ht="14.25" customHeight="1" x14ac:dyDescent="0.35"/>
    <row r="240" spans="1:3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C3:G3"/>
    <mergeCell ref="H3:L3"/>
    <mergeCell ref="M3:Q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2.6328125" defaultRowHeight="15" customHeight="1" x14ac:dyDescent="0.35"/>
  <cols>
    <col min="1" max="1" width="50.08984375" customWidth="1"/>
    <col min="2" max="26" width="8.6328125" customWidth="1"/>
  </cols>
  <sheetData>
    <row r="1" spans="1:3" ht="14.25" customHeight="1" x14ac:dyDescent="0.35">
      <c r="A1" s="78" t="s">
        <v>91</v>
      </c>
      <c r="B1" s="78" t="s">
        <v>311</v>
      </c>
      <c r="C1" s="78" t="s">
        <v>18</v>
      </c>
    </row>
    <row r="2" spans="1:3" ht="14.25" customHeight="1" x14ac:dyDescent="0.35">
      <c r="A2" s="79" t="s">
        <v>312</v>
      </c>
      <c r="B2" s="80">
        <v>176</v>
      </c>
      <c r="C2" s="80">
        <v>17</v>
      </c>
    </row>
    <row r="3" spans="1:3" ht="14.25" customHeight="1" x14ac:dyDescent="0.35">
      <c r="A3" s="79" t="s">
        <v>25</v>
      </c>
      <c r="B3" s="80">
        <v>171</v>
      </c>
      <c r="C3" s="80">
        <v>12.8</v>
      </c>
    </row>
    <row r="4" spans="1:3" ht="14.25" customHeight="1" x14ac:dyDescent="0.35">
      <c r="A4" s="79" t="s">
        <v>27</v>
      </c>
      <c r="B4" s="80">
        <v>176</v>
      </c>
      <c r="C4" s="80">
        <v>18</v>
      </c>
    </row>
    <row r="5" spans="1:3" ht="14.25" customHeight="1" x14ac:dyDescent="0.35">
      <c r="A5" s="79" t="s">
        <v>313</v>
      </c>
      <c r="B5" s="80" t="s">
        <v>314</v>
      </c>
      <c r="C5" s="80">
        <v>21.2</v>
      </c>
    </row>
    <row r="6" spans="1:3" ht="14.25" customHeight="1" x14ac:dyDescent="0.35">
      <c r="A6" s="79" t="s">
        <v>36</v>
      </c>
      <c r="B6" s="80" t="s">
        <v>315</v>
      </c>
      <c r="C6" s="80">
        <v>26.1</v>
      </c>
    </row>
    <row r="7" spans="1:3" ht="14.25" customHeight="1" x14ac:dyDescent="0.35">
      <c r="A7" s="79" t="s">
        <v>38</v>
      </c>
      <c r="B7" s="80">
        <v>181</v>
      </c>
      <c r="C7" s="80">
        <v>13.4</v>
      </c>
    </row>
    <row r="8" spans="1:3" ht="14.25" customHeight="1" x14ac:dyDescent="0.35">
      <c r="A8" s="79" t="s">
        <v>40</v>
      </c>
      <c r="B8" s="80">
        <v>186</v>
      </c>
      <c r="C8" s="80">
        <v>15.7</v>
      </c>
    </row>
    <row r="9" spans="1:3" ht="14.25" customHeight="1" x14ac:dyDescent="0.35">
      <c r="A9" s="79" t="s">
        <v>42</v>
      </c>
      <c r="B9" s="80">
        <v>142</v>
      </c>
      <c r="C9" s="80">
        <v>20.9</v>
      </c>
    </row>
    <row r="10" spans="1:3" ht="14.25" customHeight="1" x14ac:dyDescent="0.35">
      <c r="A10" s="79" t="s">
        <v>49</v>
      </c>
      <c r="B10" s="80">
        <v>195</v>
      </c>
      <c r="C10" s="80">
        <v>17</v>
      </c>
    </row>
    <row r="11" spans="1:3" ht="14.25" customHeight="1" x14ac:dyDescent="0.35">
      <c r="A11" s="79" t="s">
        <v>51</v>
      </c>
      <c r="B11" s="80">
        <v>137</v>
      </c>
      <c r="C11" s="80">
        <v>12.7</v>
      </c>
    </row>
    <row r="12" spans="1:3" ht="14.25" customHeight="1" x14ac:dyDescent="0.35">
      <c r="A12" s="79" t="s">
        <v>52</v>
      </c>
      <c r="B12" s="80">
        <v>121</v>
      </c>
      <c r="C12" s="80">
        <v>13.9</v>
      </c>
    </row>
    <row r="13" spans="1:3" ht="14.25" customHeight="1" x14ac:dyDescent="0.35">
      <c r="A13" s="79" t="s">
        <v>54</v>
      </c>
      <c r="B13" s="80" t="s">
        <v>314</v>
      </c>
      <c r="C13" s="80">
        <v>17.7</v>
      </c>
    </row>
    <row r="14" spans="1:3" ht="14.25" customHeight="1" x14ac:dyDescent="0.35">
      <c r="A14" s="79" t="s">
        <v>55</v>
      </c>
      <c r="B14" s="80">
        <v>307</v>
      </c>
      <c r="C14" s="80">
        <v>21.3</v>
      </c>
    </row>
    <row r="15" spans="1:3" ht="14.25" customHeight="1" x14ac:dyDescent="0.35">
      <c r="A15" s="79" t="s">
        <v>316</v>
      </c>
      <c r="B15" s="80" t="s">
        <v>317</v>
      </c>
      <c r="C15" s="80">
        <v>38.4</v>
      </c>
    </row>
    <row r="16" spans="1:3" ht="14.25" customHeight="1" x14ac:dyDescent="0.35">
      <c r="A16" s="79" t="s">
        <v>318</v>
      </c>
      <c r="B16" s="80" t="s">
        <v>319</v>
      </c>
      <c r="C16" s="80">
        <v>11.73</v>
      </c>
    </row>
    <row r="17" spans="1:3" ht="14.25" customHeight="1" x14ac:dyDescent="0.35">
      <c r="A17" s="79" t="s">
        <v>64</v>
      </c>
      <c r="B17" s="80">
        <v>319</v>
      </c>
      <c r="C17" s="80">
        <v>27.9</v>
      </c>
    </row>
    <row r="18" spans="1:3" ht="14.25" customHeight="1" x14ac:dyDescent="0.35">
      <c r="A18" s="79" t="s">
        <v>65</v>
      </c>
      <c r="B18" s="80">
        <v>328</v>
      </c>
      <c r="C18" s="80">
        <v>35.5</v>
      </c>
    </row>
    <row r="19" spans="1:3" ht="14.25" customHeight="1" x14ac:dyDescent="0.35">
      <c r="A19" s="79" t="s">
        <v>67</v>
      </c>
      <c r="B19" s="80">
        <v>126</v>
      </c>
      <c r="C19" s="80">
        <v>11</v>
      </c>
    </row>
    <row r="20" spans="1:3" ht="14.25" customHeight="1" x14ac:dyDescent="0.35">
      <c r="A20" s="79" t="s">
        <v>68</v>
      </c>
      <c r="B20" s="80">
        <v>125</v>
      </c>
      <c r="C20" s="80">
        <v>17.899999999999999</v>
      </c>
    </row>
    <row r="21" spans="1:3" ht="14.25" customHeight="1" x14ac:dyDescent="0.35">
      <c r="A21" s="79" t="s">
        <v>69</v>
      </c>
      <c r="B21" s="80">
        <v>116</v>
      </c>
      <c r="C21" s="80">
        <v>18.3</v>
      </c>
    </row>
    <row r="22" spans="1:3" ht="14.25" customHeight="1" x14ac:dyDescent="0.35">
      <c r="A22" s="79" t="s">
        <v>71</v>
      </c>
      <c r="B22" s="80" t="s">
        <v>320</v>
      </c>
      <c r="C22" s="80">
        <v>11.31</v>
      </c>
    </row>
    <row r="23" spans="1:3" ht="14.25" customHeight="1" x14ac:dyDescent="0.35">
      <c r="A23" s="79" t="s">
        <v>73</v>
      </c>
      <c r="B23" s="80">
        <v>164</v>
      </c>
      <c r="C23" s="80">
        <v>12.5</v>
      </c>
    </row>
    <row r="24" spans="1:3" ht="14.25" customHeight="1" x14ac:dyDescent="0.35">
      <c r="A24" s="79" t="s">
        <v>74</v>
      </c>
      <c r="B24" s="80" t="s">
        <v>321</v>
      </c>
      <c r="C24" s="80">
        <v>54.03</v>
      </c>
    </row>
    <row r="25" spans="1:3" ht="14.25" customHeight="1" x14ac:dyDescent="0.35">
      <c r="A25" s="79" t="s">
        <v>76</v>
      </c>
      <c r="B25" s="80" t="s">
        <v>322</v>
      </c>
      <c r="C25" s="80">
        <v>40.090000000000003</v>
      </c>
    </row>
    <row r="26" spans="1:3" ht="14.25" customHeight="1" x14ac:dyDescent="0.35">
      <c r="A26" s="79" t="s">
        <v>77</v>
      </c>
      <c r="B26" s="80">
        <v>132</v>
      </c>
      <c r="C26" s="80">
        <v>28.7</v>
      </c>
    </row>
    <row r="27" spans="1:3" ht="14.25" customHeight="1" x14ac:dyDescent="0.35">
      <c r="A27" s="79" t="s">
        <v>79</v>
      </c>
      <c r="B27" s="80">
        <v>212</v>
      </c>
      <c r="C27" s="80">
        <v>48.8</v>
      </c>
    </row>
    <row r="28" spans="1:3" ht="14.25" customHeight="1" x14ac:dyDescent="0.35">
      <c r="A28" s="79" t="s">
        <v>81</v>
      </c>
      <c r="B28" s="80">
        <v>206</v>
      </c>
      <c r="C28" s="80">
        <v>24.8</v>
      </c>
    </row>
    <row r="29" spans="1:3" ht="14.25" customHeight="1" x14ac:dyDescent="0.35">
      <c r="A29" s="79" t="s">
        <v>83</v>
      </c>
      <c r="B29" s="80">
        <v>126</v>
      </c>
      <c r="C29" s="80">
        <v>26.1</v>
      </c>
    </row>
    <row r="30" spans="1:3" ht="14.25" customHeight="1" x14ac:dyDescent="0.35">
      <c r="A30" s="79" t="s">
        <v>86</v>
      </c>
      <c r="B30" s="80">
        <v>712</v>
      </c>
      <c r="C30" s="80">
        <v>356.1</v>
      </c>
    </row>
    <row r="31" spans="1:3" ht="14.25" customHeight="1" x14ac:dyDescent="0.35">
      <c r="A31" s="79" t="s">
        <v>88</v>
      </c>
      <c r="B31" s="80">
        <v>693</v>
      </c>
      <c r="C31" s="80">
        <v>309.3</v>
      </c>
    </row>
    <row r="32" spans="1:3" ht="14.25" customHeight="1" x14ac:dyDescent="0.35">
      <c r="A32" s="79" t="s">
        <v>89</v>
      </c>
      <c r="B32" s="80">
        <v>400</v>
      </c>
      <c r="C32" s="80">
        <v>135.30000000000001</v>
      </c>
    </row>
    <row r="33" spans="1:3" ht="14.25" customHeight="1" x14ac:dyDescent="0.35">
      <c r="A33" s="79" t="s">
        <v>90</v>
      </c>
      <c r="B33" s="80">
        <v>142</v>
      </c>
      <c r="C33" s="80">
        <v>14.7</v>
      </c>
    </row>
    <row r="34" spans="1:3" ht="14.25" customHeight="1" x14ac:dyDescent="0.35"/>
    <row r="35" spans="1:3" ht="14.25" customHeight="1" x14ac:dyDescent="0.35"/>
    <row r="36" spans="1:3" ht="14.25" customHeight="1" x14ac:dyDescent="0.35"/>
    <row r="37" spans="1:3" ht="14.25" customHeight="1" x14ac:dyDescent="0.35"/>
    <row r="38" spans="1:3" ht="14.25" customHeight="1" x14ac:dyDescent="0.35"/>
    <row r="39" spans="1:3" ht="14.25" customHeight="1" x14ac:dyDescent="0.35"/>
    <row r="40" spans="1:3" ht="14.25" customHeight="1" x14ac:dyDescent="0.35"/>
    <row r="41" spans="1:3" ht="14.25" customHeight="1" x14ac:dyDescent="0.35"/>
    <row r="42" spans="1:3" ht="14.25" customHeight="1" x14ac:dyDescent="0.35"/>
    <row r="43" spans="1:3" ht="14.25" customHeight="1" x14ac:dyDescent="0.35"/>
    <row r="44" spans="1:3" ht="14.25" customHeight="1" x14ac:dyDescent="0.35"/>
    <row r="45" spans="1:3" ht="14.25" customHeight="1" x14ac:dyDescent="0.35"/>
    <row r="46" spans="1:3" ht="14.25" customHeight="1" x14ac:dyDescent="0.35"/>
    <row r="47" spans="1:3" ht="14.25" customHeight="1" x14ac:dyDescent="0.35"/>
    <row r="48" spans="1: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328125" defaultRowHeight="15" customHeight="1" x14ac:dyDescent="0.35"/>
  <cols>
    <col min="1" max="1" width="30.36328125" customWidth="1"/>
    <col min="2" max="2" width="13.453125" customWidth="1"/>
    <col min="3" max="3" width="13.36328125" customWidth="1"/>
    <col min="4" max="4" width="14.90625" customWidth="1"/>
    <col min="5" max="5" width="12.7265625" customWidth="1"/>
    <col min="6" max="8" width="8.6328125" customWidth="1"/>
    <col min="9" max="9" width="14.90625" customWidth="1"/>
    <col min="10" max="10" width="16.7265625" customWidth="1"/>
    <col min="11" max="13" width="8.6328125" customWidth="1"/>
    <col min="14" max="14" width="16.90625" customWidth="1"/>
    <col min="15" max="26" width="8.6328125" customWidth="1"/>
  </cols>
  <sheetData>
    <row r="1" spans="1:26" ht="14.25" customHeight="1" x14ac:dyDescent="0.35">
      <c r="A1" s="38" t="s">
        <v>323</v>
      </c>
      <c r="B1" s="38" t="s">
        <v>324</v>
      </c>
      <c r="C1" s="38" t="s">
        <v>325</v>
      </c>
      <c r="D1" s="38" t="s">
        <v>326</v>
      </c>
      <c r="E1" s="38" t="s">
        <v>327</v>
      </c>
      <c r="F1" s="38" t="s">
        <v>328</v>
      </c>
      <c r="G1" s="38" t="s">
        <v>329</v>
      </c>
      <c r="H1" s="38" t="s">
        <v>330</v>
      </c>
      <c r="I1" s="38" t="s">
        <v>331</v>
      </c>
      <c r="J1" s="38" t="s">
        <v>332</v>
      </c>
      <c r="K1" s="38" t="s">
        <v>333</v>
      </c>
      <c r="L1" s="38" t="s">
        <v>334</v>
      </c>
      <c r="M1" s="38" t="s">
        <v>335</v>
      </c>
      <c r="N1" s="38" t="s">
        <v>336</v>
      </c>
      <c r="O1" s="38" t="s">
        <v>337</v>
      </c>
      <c r="P1" s="38" t="s">
        <v>338</v>
      </c>
      <c r="Q1" s="38" t="s">
        <v>339</v>
      </c>
      <c r="R1" s="38"/>
      <c r="S1" s="38"/>
      <c r="T1" s="38"/>
      <c r="U1" s="38"/>
      <c r="V1" s="38"/>
      <c r="W1" s="38"/>
      <c r="X1" s="38"/>
      <c r="Y1" s="38"/>
      <c r="Z1" s="38"/>
    </row>
    <row r="2" spans="1:26" ht="14.25" customHeight="1" x14ac:dyDescent="0.35">
      <c r="A2" s="38" t="s">
        <v>86</v>
      </c>
      <c r="B2" s="38">
        <v>880</v>
      </c>
      <c r="C2" s="38">
        <v>712</v>
      </c>
      <c r="D2" s="38">
        <v>1302</v>
      </c>
      <c r="E2" s="81">
        <v>0.28000000000000003</v>
      </c>
      <c r="F2" s="81">
        <v>0.71</v>
      </c>
      <c r="G2" s="38" t="s">
        <v>340</v>
      </c>
      <c r="H2" s="38" t="s">
        <v>340</v>
      </c>
      <c r="I2" s="81">
        <v>0.39</v>
      </c>
      <c r="J2" s="81">
        <v>0.23</v>
      </c>
      <c r="K2" s="38" t="s">
        <v>341</v>
      </c>
      <c r="L2" s="81">
        <v>0.22</v>
      </c>
      <c r="M2" s="38" t="s">
        <v>340</v>
      </c>
      <c r="N2" s="81">
        <v>0.11</v>
      </c>
      <c r="O2" s="81">
        <v>0.04</v>
      </c>
      <c r="P2" s="38" t="s">
        <v>340</v>
      </c>
      <c r="Q2" s="38">
        <v>1</v>
      </c>
      <c r="R2" s="38"/>
      <c r="S2" s="38"/>
      <c r="T2" s="38"/>
      <c r="U2" s="38"/>
      <c r="V2" s="38"/>
      <c r="W2" s="38"/>
      <c r="X2" s="38"/>
      <c r="Y2" s="38"/>
      <c r="Z2" s="38"/>
    </row>
    <row r="3" spans="1:26" ht="14.25" customHeight="1" x14ac:dyDescent="0.35">
      <c r="A3" s="38" t="s">
        <v>88</v>
      </c>
      <c r="B3" s="38">
        <v>839</v>
      </c>
      <c r="C3" s="38">
        <v>693</v>
      </c>
      <c r="D3" s="38">
        <v>1205</v>
      </c>
      <c r="E3" s="81">
        <v>0.35</v>
      </c>
      <c r="F3" s="81">
        <v>0.65</v>
      </c>
      <c r="G3" s="38" t="s">
        <v>340</v>
      </c>
      <c r="H3" s="38" t="s">
        <v>340</v>
      </c>
      <c r="I3" s="81">
        <v>0.49</v>
      </c>
      <c r="J3" s="81">
        <v>0.2</v>
      </c>
      <c r="K3" s="38" t="s">
        <v>341</v>
      </c>
      <c r="L3" s="81">
        <v>0.16</v>
      </c>
      <c r="M3" s="38" t="s">
        <v>340</v>
      </c>
      <c r="N3" s="81">
        <v>0.09</v>
      </c>
      <c r="O3" s="81">
        <v>0.04</v>
      </c>
      <c r="P3" s="81">
        <v>0.02</v>
      </c>
      <c r="Q3" s="38">
        <v>2</v>
      </c>
      <c r="R3" s="38"/>
      <c r="S3" s="38"/>
      <c r="T3" s="38"/>
      <c r="U3" s="38"/>
      <c r="V3" s="38"/>
      <c r="W3" s="38"/>
      <c r="X3" s="38"/>
      <c r="Y3" s="38"/>
      <c r="Z3" s="38"/>
    </row>
    <row r="4" spans="1:26" ht="14.25" customHeight="1" x14ac:dyDescent="0.35">
      <c r="A4" s="38" t="s">
        <v>89</v>
      </c>
      <c r="B4" s="38">
        <v>464</v>
      </c>
      <c r="C4" s="38">
        <v>400</v>
      </c>
      <c r="D4" s="38">
        <v>624</v>
      </c>
      <c r="E4" s="81">
        <v>0.48</v>
      </c>
      <c r="F4" s="81">
        <v>0.51</v>
      </c>
      <c r="G4" s="38" t="s">
        <v>340</v>
      </c>
      <c r="H4" s="38" t="s">
        <v>340</v>
      </c>
      <c r="I4" s="81">
        <v>0.42</v>
      </c>
      <c r="J4" s="81">
        <v>0.26</v>
      </c>
      <c r="K4" s="38" t="s">
        <v>341</v>
      </c>
      <c r="L4" s="81">
        <v>0.13</v>
      </c>
      <c r="M4" s="38" t="s">
        <v>341</v>
      </c>
      <c r="N4" s="81">
        <v>0.12</v>
      </c>
      <c r="O4" s="81">
        <v>0.05</v>
      </c>
      <c r="P4" s="81">
        <v>0.02</v>
      </c>
      <c r="Q4" s="38">
        <v>3</v>
      </c>
      <c r="R4" s="38"/>
      <c r="S4" s="38"/>
      <c r="T4" s="38"/>
      <c r="U4" s="38"/>
      <c r="V4" s="38"/>
      <c r="W4" s="38"/>
      <c r="X4" s="38"/>
      <c r="Y4" s="38"/>
      <c r="Z4" s="38"/>
    </row>
    <row r="5" spans="1:26" ht="14.25" customHeight="1" x14ac:dyDescent="0.35">
      <c r="A5" s="38" t="s">
        <v>65</v>
      </c>
      <c r="B5" s="38">
        <v>342</v>
      </c>
      <c r="C5" s="38">
        <v>328</v>
      </c>
      <c r="D5" s="38">
        <v>375</v>
      </c>
      <c r="E5" s="81">
        <v>0.85</v>
      </c>
      <c r="F5" s="81">
        <v>0.15</v>
      </c>
      <c r="G5" s="38" t="s">
        <v>340</v>
      </c>
      <c r="H5" s="38" t="s">
        <v>340</v>
      </c>
      <c r="I5" s="81">
        <v>0.51</v>
      </c>
      <c r="J5" s="81">
        <v>0.2</v>
      </c>
      <c r="K5" s="81">
        <v>0.13</v>
      </c>
      <c r="L5" s="81">
        <v>0.09</v>
      </c>
      <c r="M5" s="81">
        <v>0.03</v>
      </c>
      <c r="N5" s="81">
        <v>0.03</v>
      </c>
      <c r="O5" s="81">
        <v>0.02</v>
      </c>
      <c r="P5" s="38" t="s">
        <v>340</v>
      </c>
      <c r="Q5" s="38">
        <v>4</v>
      </c>
      <c r="R5" s="38"/>
      <c r="S5" s="38"/>
      <c r="T5" s="38"/>
      <c r="U5" s="38"/>
      <c r="V5" s="38"/>
      <c r="W5" s="38"/>
      <c r="X5" s="38"/>
      <c r="Y5" s="38"/>
      <c r="Z5" s="38"/>
    </row>
    <row r="6" spans="1:26" ht="14.25" customHeight="1" x14ac:dyDescent="0.35">
      <c r="A6" s="38" t="s">
        <v>64</v>
      </c>
      <c r="B6" s="38">
        <v>330</v>
      </c>
      <c r="C6" s="38">
        <v>319</v>
      </c>
      <c r="D6" s="38">
        <v>356</v>
      </c>
      <c r="E6" s="81">
        <v>0.88</v>
      </c>
      <c r="F6" s="81">
        <v>0.12</v>
      </c>
      <c r="G6" s="38" t="s">
        <v>340</v>
      </c>
      <c r="H6" s="38" t="s">
        <v>340</v>
      </c>
      <c r="I6" s="81">
        <v>0.51</v>
      </c>
      <c r="J6" s="81">
        <v>0.2</v>
      </c>
      <c r="K6" s="81">
        <v>0.13</v>
      </c>
      <c r="L6" s="81">
        <v>0.09</v>
      </c>
      <c r="M6" s="81">
        <v>0.03</v>
      </c>
      <c r="N6" s="81">
        <v>0.03</v>
      </c>
      <c r="O6" s="81">
        <v>0.01</v>
      </c>
      <c r="P6" s="38" t="s">
        <v>340</v>
      </c>
      <c r="Q6" s="38">
        <v>5</v>
      </c>
      <c r="R6" s="38"/>
      <c r="S6" s="38"/>
      <c r="T6" s="38"/>
      <c r="U6" s="38"/>
      <c r="V6" s="38"/>
      <c r="W6" s="38"/>
      <c r="X6" s="38"/>
      <c r="Y6" s="38"/>
      <c r="Z6" s="38"/>
    </row>
    <row r="7" spans="1:26" ht="14.25" customHeight="1" x14ac:dyDescent="0.35">
      <c r="A7" s="38" t="s">
        <v>55</v>
      </c>
      <c r="B7" s="38">
        <v>315</v>
      </c>
      <c r="C7" s="38">
        <v>307</v>
      </c>
      <c r="D7" s="38">
        <v>335</v>
      </c>
      <c r="E7" s="81">
        <v>0.9</v>
      </c>
      <c r="F7" s="81">
        <v>0.09</v>
      </c>
      <c r="G7" s="38" t="s">
        <v>340</v>
      </c>
      <c r="H7" s="38" t="s">
        <v>340</v>
      </c>
      <c r="I7" s="81">
        <v>0.52</v>
      </c>
      <c r="J7" s="81">
        <v>0.2</v>
      </c>
      <c r="K7" s="81">
        <v>0.13</v>
      </c>
      <c r="L7" s="81">
        <v>0.08</v>
      </c>
      <c r="M7" s="81">
        <v>0.03</v>
      </c>
      <c r="N7" s="81">
        <v>0.03</v>
      </c>
      <c r="O7" s="38" t="s">
        <v>340</v>
      </c>
      <c r="P7" s="38" t="s">
        <v>340</v>
      </c>
      <c r="Q7" s="38">
        <v>6</v>
      </c>
      <c r="R7" s="38"/>
      <c r="S7" s="38"/>
      <c r="T7" s="38"/>
      <c r="U7" s="38"/>
      <c r="V7" s="38"/>
      <c r="W7" s="38"/>
      <c r="X7" s="38"/>
      <c r="Y7" s="38"/>
      <c r="Z7" s="38"/>
    </row>
    <row r="8" spans="1:26" ht="14.25" customHeight="1" x14ac:dyDescent="0.35">
      <c r="A8" s="38" t="s">
        <v>57</v>
      </c>
      <c r="B8" s="38">
        <v>300</v>
      </c>
      <c r="C8" s="38" t="s">
        <v>341</v>
      </c>
      <c r="D8" s="38" t="s">
        <v>341</v>
      </c>
      <c r="E8" s="81">
        <v>0.71</v>
      </c>
      <c r="F8" s="81">
        <v>0.23</v>
      </c>
      <c r="G8" s="81">
        <v>0.06</v>
      </c>
      <c r="H8" s="81">
        <v>0</v>
      </c>
      <c r="I8" s="81">
        <v>0.41</v>
      </c>
      <c r="J8" s="81">
        <v>0.26</v>
      </c>
      <c r="K8" s="81">
        <v>0.15</v>
      </c>
      <c r="L8" s="81">
        <v>0.06</v>
      </c>
      <c r="M8" s="81">
        <v>0.05</v>
      </c>
      <c r="N8" s="81">
        <v>0.04</v>
      </c>
      <c r="O8" s="81">
        <v>0.02</v>
      </c>
      <c r="P8" s="38" t="s">
        <v>340</v>
      </c>
      <c r="Q8" s="38">
        <v>7</v>
      </c>
      <c r="R8" s="38"/>
      <c r="S8" s="38"/>
      <c r="T8" s="38"/>
      <c r="U8" s="38"/>
      <c r="V8" s="38"/>
      <c r="W8" s="38"/>
      <c r="X8" s="38"/>
      <c r="Y8" s="38"/>
      <c r="Z8" s="38"/>
    </row>
    <row r="9" spans="1:26" ht="14.25" customHeight="1" x14ac:dyDescent="0.35">
      <c r="A9" s="38" t="s">
        <v>79</v>
      </c>
      <c r="B9" s="38">
        <v>235</v>
      </c>
      <c r="C9" s="38">
        <v>212</v>
      </c>
      <c r="D9" s="38">
        <v>292</v>
      </c>
      <c r="E9" s="81">
        <v>0.63</v>
      </c>
      <c r="F9" s="81">
        <v>0.36</v>
      </c>
      <c r="G9" s="38" t="s">
        <v>340</v>
      </c>
      <c r="H9" s="38" t="s">
        <v>340</v>
      </c>
      <c r="I9" s="81">
        <v>0.52</v>
      </c>
      <c r="J9" s="81">
        <v>0.2</v>
      </c>
      <c r="K9" s="38" t="s">
        <v>341</v>
      </c>
      <c r="L9" s="81">
        <v>0.17</v>
      </c>
      <c r="M9" s="38" t="s">
        <v>341</v>
      </c>
      <c r="N9" s="81">
        <v>0.03</v>
      </c>
      <c r="O9" s="81">
        <v>7.0000000000000007E-2</v>
      </c>
      <c r="P9" s="81">
        <v>0.02</v>
      </c>
      <c r="Q9" s="38">
        <v>8</v>
      </c>
      <c r="R9" s="38"/>
      <c r="S9" s="38"/>
      <c r="T9" s="38"/>
      <c r="U9" s="38"/>
      <c r="V9" s="38"/>
      <c r="W9" s="38"/>
      <c r="X9" s="38"/>
      <c r="Y9" s="38"/>
      <c r="Z9" s="38"/>
    </row>
    <row r="10" spans="1:26" ht="14.25" customHeight="1" x14ac:dyDescent="0.35">
      <c r="A10" s="38" t="s">
        <v>74</v>
      </c>
      <c r="B10" s="38">
        <v>285</v>
      </c>
      <c r="C10" s="38" t="s">
        <v>341</v>
      </c>
      <c r="D10" s="38" t="s">
        <v>341</v>
      </c>
      <c r="E10" s="81">
        <v>0.49</v>
      </c>
      <c r="F10" s="81">
        <v>0.51</v>
      </c>
      <c r="G10" s="81">
        <v>0</v>
      </c>
      <c r="H10" s="81">
        <v>0</v>
      </c>
      <c r="I10" s="38" t="s">
        <v>342</v>
      </c>
      <c r="J10" s="38" t="s">
        <v>343</v>
      </c>
      <c r="K10" s="38" t="s">
        <v>341</v>
      </c>
      <c r="L10" s="38" t="s">
        <v>344</v>
      </c>
      <c r="M10" s="38" t="s">
        <v>341</v>
      </c>
      <c r="N10" s="38" t="s">
        <v>345</v>
      </c>
      <c r="O10" s="38" t="s">
        <v>344</v>
      </c>
      <c r="P10" s="38" t="s">
        <v>346</v>
      </c>
      <c r="Q10" s="38">
        <v>9</v>
      </c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4.25" customHeight="1" x14ac:dyDescent="0.35">
      <c r="A11" s="38" t="s">
        <v>76</v>
      </c>
      <c r="B11" s="38">
        <v>250</v>
      </c>
      <c r="C11" s="38" t="s">
        <v>341</v>
      </c>
      <c r="D11" s="38" t="s">
        <v>341</v>
      </c>
      <c r="E11" s="81">
        <v>0.56000000000000005</v>
      </c>
      <c r="F11" s="81">
        <v>0.43</v>
      </c>
      <c r="G11" s="81">
        <v>0</v>
      </c>
      <c r="H11" s="81">
        <v>0.01</v>
      </c>
      <c r="I11" s="81">
        <v>0.63</v>
      </c>
      <c r="J11" s="81">
        <v>0.21</v>
      </c>
      <c r="K11" s="38" t="s">
        <v>341</v>
      </c>
      <c r="L11" s="81">
        <v>0.03</v>
      </c>
      <c r="M11" s="38" t="s">
        <v>341</v>
      </c>
      <c r="N11" s="81">
        <v>0.04</v>
      </c>
      <c r="O11" s="81">
        <v>0.04</v>
      </c>
      <c r="P11" s="38" t="s">
        <v>341</v>
      </c>
      <c r="Q11" s="38">
        <v>10</v>
      </c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.25" customHeight="1" x14ac:dyDescent="0.35">
      <c r="A12" s="38" t="s">
        <v>81</v>
      </c>
      <c r="B12" s="38">
        <v>218</v>
      </c>
      <c r="C12" s="38">
        <v>206</v>
      </c>
      <c r="D12" s="38">
        <v>246</v>
      </c>
      <c r="E12" s="81">
        <v>0.78</v>
      </c>
      <c r="F12" s="81">
        <v>0.2</v>
      </c>
      <c r="G12" s="38" t="s">
        <v>340</v>
      </c>
      <c r="H12" s="38" t="s">
        <v>340</v>
      </c>
      <c r="I12" s="81">
        <v>0.37</v>
      </c>
      <c r="J12" s="81">
        <v>0.17</v>
      </c>
      <c r="K12" s="81">
        <v>0.21</v>
      </c>
      <c r="L12" s="81">
        <v>0.13</v>
      </c>
      <c r="M12" s="38" t="s">
        <v>340</v>
      </c>
      <c r="N12" s="81">
        <v>7.0000000000000007E-2</v>
      </c>
      <c r="O12" s="81">
        <v>0.02</v>
      </c>
      <c r="P12" s="81">
        <v>0.02</v>
      </c>
      <c r="Q12" s="38">
        <v>11</v>
      </c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25" customHeight="1" x14ac:dyDescent="0.35">
      <c r="A13" s="38" t="s">
        <v>36</v>
      </c>
      <c r="B13" s="38">
        <v>220</v>
      </c>
      <c r="C13" s="38" t="s">
        <v>341</v>
      </c>
      <c r="D13" s="38" t="s">
        <v>341</v>
      </c>
      <c r="E13" s="81">
        <v>0.73</v>
      </c>
      <c r="F13" s="81">
        <v>0.21</v>
      </c>
      <c r="G13" s="81">
        <v>0.06</v>
      </c>
      <c r="H13" s="81">
        <v>0</v>
      </c>
      <c r="I13" s="81">
        <v>0.48</v>
      </c>
      <c r="J13" s="81">
        <v>0.18</v>
      </c>
      <c r="K13" s="81">
        <v>0.2</v>
      </c>
      <c r="L13" s="81">
        <v>7.0000000000000007E-2</v>
      </c>
      <c r="M13" s="81">
        <v>0.03</v>
      </c>
      <c r="N13" s="81">
        <v>0.02</v>
      </c>
      <c r="O13" s="81">
        <v>0.02</v>
      </c>
      <c r="P13" s="81">
        <v>0.01</v>
      </c>
      <c r="Q13" s="38">
        <v>12</v>
      </c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 x14ac:dyDescent="0.35">
      <c r="A14" s="38" t="s">
        <v>40</v>
      </c>
      <c r="B14" s="38">
        <v>204</v>
      </c>
      <c r="C14" s="38">
        <v>186</v>
      </c>
      <c r="D14" s="38">
        <v>202</v>
      </c>
      <c r="E14" s="81">
        <v>0.8</v>
      </c>
      <c r="F14" s="81">
        <v>0.11</v>
      </c>
      <c r="G14" s="81">
        <v>0.09</v>
      </c>
      <c r="H14" s="38" t="s">
        <v>340</v>
      </c>
      <c r="I14" s="81">
        <v>0.42</v>
      </c>
      <c r="J14" s="81">
        <v>0.18</v>
      </c>
      <c r="K14" s="81">
        <v>0.23</v>
      </c>
      <c r="L14" s="81">
        <v>0.1</v>
      </c>
      <c r="M14" s="81">
        <v>0.04</v>
      </c>
      <c r="N14" s="81">
        <v>0.02</v>
      </c>
      <c r="O14" s="81">
        <v>0.01</v>
      </c>
      <c r="P14" s="38" t="s">
        <v>340</v>
      </c>
      <c r="Q14" s="38">
        <v>13</v>
      </c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.25" customHeight="1" x14ac:dyDescent="0.35">
      <c r="A15" s="38" t="s">
        <v>49</v>
      </c>
      <c r="B15" s="38">
        <v>202</v>
      </c>
      <c r="C15" s="38">
        <v>195</v>
      </c>
      <c r="D15" s="38">
        <v>217</v>
      </c>
      <c r="E15" s="81">
        <v>0.88</v>
      </c>
      <c r="F15" s="81">
        <v>0.12</v>
      </c>
      <c r="G15" s="38" t="s">
        <v>340</v>
      </c>
      <c r="H15" s="38" t="s">
        <v>340</v>
      </c>
      <c r="I15" s="81">
        <v>0.32</v>
      </c>
      <c r="J15" s="81">
        <v>0.33</v>
      </c>
      <c r="K15" s="81">
        <v>0.2</v>
      </c>
      <c r="L15" s="81">
        <v>0.08</v>
      </c>
      <c r="M15" s="81">
        <v>0.02</v>
      </c>
      <c r="N15" s="81">
        <v>0.02</v>
      </c>
      <c r="O15" s="81">
        <v>0.01</v>
      </c>
      <c r="P15" s="38" t="s">
        <v>340</v>
      </c>
      <c r="Q15" s="38">
        <v>14</v>
      </c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.25" customHeight="1" x14ac:dyDescent="0.35">
      <c r="A16" s="38" t="s">
        <v>59</v>
      </c>
      <c r="B16" s="38">
        <v>205</v>
      </c>
      <c r="C16" s="38" t="s">
        <v>341</v>
      </c>
      <c r="D16" s="38" t="s">
        <v>341</v>
      </c>
      <c r="E16" s="81">
        <v>0.83</v>
      </c>
      <c r="F16" s="81">
        <v>0.12</v>
      </c>
      <c r="G16" s="81">
        <v>0.05</v>
      </c>
      <c r="H16" s="81">
        <v>0</v>
      </c>
      <c r="I16" s="81">
        <v>0.34</v>
      </c>
      <c r="J16" s="81">
        <v>0.34</v>
      </c>
      <c r="K16" s="81">
        <v>0.17</v>
      </c>
      <c r="L16" s="81">
        <v>0.08</v>
      </c>
      <c r="M16" s="81">
        <v>0.03</v>
      </c>
      <c r="N16" s="81">
        <v>0.02</v>
      </c>
      <c r="O16" s="81">
        <v>0.02</v>
      </c>
      <c r="P16" s="38" t="s">
        <v>341</v>
      </c>
      <c r="Q16" s="38">
        <v>15</v>
      </c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4.25" customHeight="1" x14ac:dyDescent="0.35">
      <c r="A17" s="38" t="s">
        <v>313</v>
      </c>
      <c r="B17" s="38">
        <v>200</v>
      </c>
      <c r="C17" s="38" t="s">
        <v>341</v>
      </c>
      <c r="D17" s="38" t="s">
        <v>341</v>
      </c>
      <c r="E17" s="81">
        <v>0.76</v>
      </c>
      <c r="F17" s="81">
        <v>0.19</v>
      </c>
      <c r="G17" s="81">
        <v>0.05</v>
      </c>
      <c r="H17" s="81">
        <v>0</v>
      </c>
      <c r="I17" s="81">
        <v>0.46</v>
      </c>
      <c r="J17" s="81">
        <v>0.19</v>
      </c>
      <c r="K17" s="81">
        <v>0.19</v>
      </c>
      <c r="L17" s="81">
        <v>0.08</v>
      </c>
      <c r="M17" s="81">
        <v>0.04</v>
      </c>
      <c r="N17" s="81">
        <v>0.03</v>
      </c>
      <c r="O17" s="81">
        <v>0.02</v>
      </c>
      <c r="P17" s="38" t="s">
        <v>340</v>
      </c>
      <c r="Q17" s="38">
        <v>16</v>
      </c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4.25" customHeight="1" x14ac:dyDescent="0.35">
      <c r="A18" s="38" t="s">
        <v>54</v>
      </c>
      <c r="B18" s="38">
        <v>200</v>
      </c>
      <c r="C18" s="38" t="s">
        <v>341</v>
      </c>
      <c r="D18" s="38" t="s">
        <v>341</v>
      </c>
      <c r="E18" s="81">
        <v>0.78</v>
      </c>
      <c r="F18" s="81">
        <v>0.16</v>
      </c>
      <c r="G18" s="81">
        <v>0.06</v>
      </c>
      <c r="H18" s="81">
        <v>0</v>
      </c>
      <c r="I18" s="81">
        <v>0.48</v>
      </c>
      <c r="J18" s="81">
        <v>0.19</v>
      </c>
      <c r="K18" s="81">
        <v>0.18</v>
      </c>
      <c r="L18" s="81">
        <v>0.08</v>
      </c>
      <c r="M18" s="81">
        <v>0.03</v>
      </c>
      <c r="N18" s="81">
        <v>0.03</v>
      </c>
      <c r="O18" s="81">
        <v>0.02</v>
      </c>
      <c r="P18" s="38" t="s">
        <v>340</v>
      </c>
      <c r="Q18" s="38">
        <v>17</v>
      </c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 x14ac:dyDescent="0.35">
      <c r="A19" s="38" t="s">
        <v>38</v>
      </c>
      <c r="B19" s="38">
        <v>198</v>
      </c>
      <c r="C19" s="38">
        <v>181</v>
      </c>
      <c r="D19" s="38">
        <v>194</v>
      </c>
      <c r="E19" s="81">
        <v>0.81</v>
      </c>
      <c r="F19" s="81">
        <v>0.09</v>
      </c>
      <c r="G19" s="81">
        <v>0.09</v>
      </c>
      <c r="H19" s="38" t="s">
        <v>340</v>
      </c>
      <c r="I19" s="81">
        <v>0.42</v>
      </c>
      <c r="J19" s="81">
        <v>0.18</v>
      </c>
      <c r="K19" s="81">
        <v>0.23</v>
      </c>
      <c r="L19" s="81">
        <v>0.03</v>
      </c>
      <c r="M19" s="81">
        <v>0.1</v>
      </c>
      <c r="N19" s="81">
        <v>0.02</v>
      </c>
      <c r="O19" s="81">
        <v>0.01</v>
      </c>
      <c r="P19" s="38" t="s">
        <v>340</v>
      </c>
      <c r="Q19" s="38">
        <v>18</v>
      </c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.25" customHeight="1" x14ac:dyDescent="0.35">
      <c r="A20" s="38" t="s">
        <v>27</v>
      </c>
      <c r="B20" s="38">
        <v>192</v>
      </c>
      <c r="C20" s="38">
        <v>176</v>
      </c>
      <c r="D20" s="38">
        <v>196</v>
      </c>
      <c r="E20" s="81">
        <v>0.79</v>
      </c>
      <c r="F20" s="81">
        <v>0.13</v>
      </c>
      <c r="G20" s="81">
        <v>0.08</v>
      </c>
      <c r="H20" s="38" t="s">
        <v>340</v>
      </c>
      <c r="I20" s="81">
        <v>0.44</v>
      </c>
      <c r="J20" s="81">
        <v>0.19</v>
      </c>
      <c r="K20" s="81">
        <v>0.21</v>
      </c>
      <c r="L20" s="81">
        <v>0.09</v>
      </c>
      <c r="M20" s="81">
        <v>0.03</v>
      </c>
      <c r="N20" s="81">
        <v>0.02</v>
      </c>
      <c r="O20" s="81">
        <v>0.02</v>
      </c>
      <c r="P20" s="38" t="s">
        <v>340</v>
      </c>
      <c r="Q20" s="38">
        <v>19</v>
      </c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35">
      <c r="A21" s="38" t="s">
        <v>25</v>
      </c>
      <c r="B21" s="38">
        <v>185</v>
      </c>
      <c r="C21" s="38">
        <v>171</v>
      </c>
      <c r="D21" s="38">
        <v>184</v>
      </c>
      <c r="E21" s="81">
        <v>0.82</v>
      </c>
      <c r="F21" s="81">
        <v>0.1</v>
      </c>
      <c r="G21" s="81">
        <v>0.08</v>
      </c>
      <c r="H21" s="38" t="s">
        <v>340</v>
      </c>
      <c r="I21" s="81">
        <v>0.44</v>
      </c>
      <c r="J21" s="81">
        <v>0.19</v>
      </c>
      <c r="K21" s="81">
        <v>0.21</v>
      </c>
      <c r="L21" s="81">
        <v>0.09</v>
      </c>
      <c r="M21" s="81">
        <v>0.03</v>
      </c>
      <c r="N21" s="81">
        <v>0.02</v>
      </c>
      <c r="O21" s="81">
        <v>0.02</v>
      </c>
      <c r="P21" s="38" t="s">
        <v>340</v>
      </c>
      <c r="Q21" s="38">
        <v>20</v>
      </c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 x14ac:dyDescent="0.35">
      <c r="A22" s="38" t="s">
        <v>72</v>
      </c>
      <c r="B22" s="38">
        <v>185</v>
      </c>
      <c r="C22" s="38" t="s">
        <v>341</v>
      </c>
      <c r="D22" s="38" t="s">
        <v>341</v>
      </c>
      <c r="E22" s="81">
        <v>0.81</v>
      </c>
      <c r="F22" s="81">
        <v>0.13</v>
      </c>
      <c r="G22" s="81">
        <v>0.06</v>
      </c>
      <c r="H22" s="81">
        <v>0</v>
      </c>
      <c r="I22" s="81">
        <v>0.46</v>
      </c>
      <c r="J22" s="81">
        <v>0.19</v>
      </c>
      <c r="K22" s="81">
        <v>0.19</v>
      </c>
      <c r="L22" s="81">
        <v>0.08</v>
      </c>
      <c r="M22" s="81">
        <v>0.03</v>
      </c>
      <c r="N22" s="81">
        <v>0.03</v>
      </c>
      <c r="O22" s="81">
        <v>0.02</v>
      </c>
      <c r="P22" s="38" t="s">
        <v>341</v>
      </c>
      <c r="Q22" s="38">
        <v>21</v>
      </c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 x14ac:dyDescent="0.35">
      <c r="A23" s="38" t="s">
        <v>312</v>
      </c>
      <c r="B23" s="38">
        <v>182</v>
      </c>
      <c r="C23" s="38">
        <v>176</v>
      </c>
      <c r="D23" s="38">
        <v>198</v>
      </c>
      <c r="E23" s="81">
        <v>0.86</v>
      </c>
      <c r="F23" s="81">
        <v>0.13</v>
      </c>
      <c r="G23" s="38" t="s">
        <v>340</v>
      </c>
      <c r="H23" s="38" t="s">
        <v>340</v>
      </c>
      <c r="I23" s="81">
        <v>0.28999999999999998</v>
      </c>
      <c r="J23" s="81">
        <v>0.37</v>
      </c>
      <c r="K23" s="81">
        <v>0.2</v>
      </c>
      <c r="L23" s="81">
        <v>0.06</v>
      </c>
      <c r="M23" s="81">
        <v>0.03</v>
      </c>
      <c r="N23" s="81">
        <v>0.02</v>
      </c>
      <c r="O23" s="81">
        <v>0.01</v>
      </c>
      <c r="P23" s="38" t="s">
        <v>340</v>
      </c>
      <c r="Q23" s="38">
        <v>22</v>
      </c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.25" customHeight="1" x14ac:dyDescent="0.35">
      <c r="A24" s="38" t="s">
        <v>73</v>
      </c>
      <c r="B24" s="38">
        <v>178</v>
      </c>
      <c r="C24" s="38">
        <v>164</v>
      </c>
      <c r="D24" s="38">
        <v>177</v>
      </c>
      <c r="E24" s="81">
        <v>0.82</v>
      </c>
      <c r="F24" s="81">
        <v>0.1</v>
      </c>
      <c r="G24" s="81">
        <v>0.08</v>
      </c>
      <c r="H24" s="38" t="s">
        <v>340</v>
      </c>
      <c r="I24" s="81">
        <v>0.44</v>
      </c>
      <c r="J24" s="81">
        <v>0.2</v>
      </c>
      <c r="K24" s="81">
        <v>0.21</v>
      </c>
      <c r="L24" s="81">
        <v>0.08</v>
      </c>
      <c r="M24" s="81">
        <v>0.03</v>
      </c>
      <c r="N24" s="81">
        <v>0.02</v>
      </c>
      <c r="O24" s="81">
        <v>0.02</v>
      </c>
      <c r="P24" s="38" t="s">
        <v>340</v>
      </c>
      <c r="Q24" s="38">
        <v>23</v>
      </c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 x14ac:dyDescent="0.35">
      <c r="A25" s="38" t="s">
        <v>90</v>
      </c>
      <c r="B25" s="38">
        <v>166</v>
      </c>
      <c r="C25" s="38">
        <v>142</v>
      </c>
      <c r="D25" s="38">
        <v>154</v>
      </c>
      <c r="E25" s="81">
        <v>0.71</v>
      </c>
      <c r="F25" s="81">
        <v>0.12</v>
      </c>
      <c r="G25" s="81">
        <v>0.16</v>
      </c>
      <c r="H25" s="38" t="s">
        <v>340</v>
      </c>
      <c r="I25" s="81">
        <v>0.3</v>
      </c>
      <c r="J25" s="81">
        <v>0.25</v>
      </c>
      <c r="K25" s="81">
        <v>0.26</v>
      </c>
      <c r="L25" s="81">
        <v>0.08</v>
      </c>
      <c r="M25" s="81">
        <v>0.03</v>
      </c>
      <c r="N25" s="81">
        <v>0.03</v>
      </c>
      <c r="O25" s="81">
        <v>0.03</v>
      </c>
      <c r="P25" s="81">
        <v>0.03</v>
      </c>
      <c r="Q25" s="38">
        <v>24</v>
      </c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.25" customHeight="1" x14ac:dyDescent="0.35">
      <c r="A26" s="38" t="s">
        <v>51</v>
      </c>
      <c r="B26" s="38">
        <v>150</v>
      </c>
      <c r="C26" s="38">
        <v>137</v>
      </c>
      <c r="D26" s="38">
        <v>150</v>
      </c>
      <c r="E26" s="81">
        <v>0.79</v>
      </c>
      <c r="F26" s="81">
        <v>0.12</v>
      </c>
      <c r="G26" s="81">
        <v>0.08</v>
      </c>
      <c r="H26" s="38" t="s">
        <v>340</v>
      </c>
      <c r="I26" s="81">
        <v>0.27</v>
      </c>
      <c r="J26" s="81">
        <v>0.24</v>
      </c>
      <c r="K26" s="81">
        <v>0.3</v>
      </c>
      <c r="L26" s="81">
        <v>0.09</v>
      </c>
      <c r="M26" s="81">
        <v>0.04</v>
      </c>
      <c r="N26" s="81">
        <v>0.03</v>
      </c>
      <c r="O26" s="81">
        <v>0.02</v>
      </c>
      <c r="P26" s="38" t="s">
        <v>340</v>
      </c>
      <c r="Q26" s="38">
        <v>25</v>
      </c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.25" customHeight="1" x14ac:dyDescent="0.35">
      <c r="A27" s="38" t="s">
        <v>42</v>
      </c>
      <c r="B27" s="38">
        <v>149</v>
      </c>
      <c r="C27" s="38">
        <v>142</v>
      </c>
      <c r="D27" s="38">
        <v>166</v>
      </c>
      <c r="E27" s="81">
        <v>0.82</v>
      </c>
      <c r="F27" s="81">
        <v>0.17</v>
      </c>
      <c r="G27" s="38" t="s">
        <v>340</v>
      </c>
      <c r="H27" s="38" t="s">
        <v>340</v>
      </c>
      <c r="I27" s="81">
        <v>0.57999999999999996</v>
      </c>
      <c r="J27" s="81">
        <v>0.23</v>
      </c>
      <c r="K27" s="81">
        <v>0.3</v>
      </c>
      <c r="L27" s="81">
        <v>0.04</v>
      </c>
      <c r="M27" s="81">
        <v>0.1</v>
      </c>
      <c r="N27" s="81">
        <v>0.03</v>
      </c>
      <c r="O27" s="38" t="s">
        <v>341</v>
      </c>
      <c r="P27" s="38" t="s">
        <v>340</v>
      </c>
      <c r="Q27" s="38">
        <v>26</v>
      </c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.25" customHeight="1" x14ac:dyDescent="0.35">
      <c r="A28" s="38" t="s">
        <v>77</v>
      </c>
      <c r="B28" s="38">
        <v>146</v>
      </c>
      <c r="C28" s="38">
        <v>132</v>
      </c>
      <c r="D28" s="38">
        <v>180</v>
      </c>
      <c r="E28" s="81">
        <v>0.64</v>
      </c>
      <c r="F28" s="81">
        <v>0.35</v>
      </c>
      <c r="G28" s="38" t="s">
        <v>340</v>
      </c>
      <c r="H28" s="38" t="s">
        <v>340</v>
      </c>
      <c r="I28" s="81">
        <v>0.51</v>
      </c>
      <c r="J28" s="81">
        <v>0.31</v>
      </c>
      <c r="K28" s="38" t="s">
        <v>341</v>
      </c>
      <c r="L28" s="81">
        <v>0.05</v>
      </c>
      <c r="M28" s="38" t="s">
        <v>340</v>
      </c>
      <c r="N28" s="81">
        <v>0.03</v>
      </c>
      <c r="O28" s="81">
        <v>0.1</v>
      </c>
      <c r="P28" s="38" t="s">
        <v>340</v>
      </c>
      <c r="Q28" s="38">
        <v>27</v>
      </c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.25" customHeight="1" x14ac:dyDescent="0.35">
      <c r="A29" s="38" t="s">
        <v>83</v>
      </c>
      <c r="B29" s="38">
        <v>139</v>
      </c>
      <c r="C29" s="38">
        <v>126</v>
      </c>
      <c r="D29" s="38">
        <v>169</v>
      </c>
      <c r="E29" s="81">
        <v>0.66</v>
      </c>
      <c r="F29" s="81">
        <v>0.33</v>
      </c>
      <c r="G29" s="38" t="s">
        <v>340</v>
      </c>
      <c r="H29" s="38" t="s">
        <v>340</v>
      </c>
      <c r="I29" s="81">
        <v>0.46</v>
      </c>
      <c r="J29" s="81">
        <v>0.32</v>
      </c>
      <c r="K29" s="38" t="s">
        <v>341</v>
      </c>
      <c r="L29" s="81">
        <v>0.08</v>
      </c>
      <c r="M29" s="38" t="s">
        <v>340</v>
      </c>
      <c r="N29" s="81">
        <v>0.04</v>
      </c>
      <c r="O29" s="81">
        <v>0.1</v>
      </c>
      <c r="P29" s="38" t="s">
        <v>340</v>
      </c>
      <c r="Q29" s="38">
        <v>28</v>
      </c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.25" customHeight="1" x14ac:dyDescent="0.35">
      <c r="A30" s="38" t="s">
        <v>67</v>
      </c>
      <c r="B30" s="38">
        <v>138</v>
      </c>
      <c r="C30" s="38">
        <v>126</v>
      </c>
      <c r="D30" s="38">
        <v>138</v>
      </c>
      <c r="E30" s="81">
        <v>0.8</v>
      </c>
      <c r="F30" s="81">
        <v>0.11</v>
      </c>
      <c r="G30" s="81">
        <v>0.08</v>
      </c>
      <c r="H30" s="38" t="s">
        <v>340</v>
      </c>
      <c r="I30" s="81">
        <v>0.33</v>
      </c>
      <c r="J30" s="81">
        <v>0.26</v>
      </c>
      <c r="K30" s="81">
        <v>0.27</v>
      </c>
      <c r="L30" s="81">
        <v>0.05</v>
      </c>
      <c r="M30" s="81">
        <v>0.04</v>
      </c>
      <c r="N30" s="81">
        <v>0.03</v>
      </c>
      <c r="O30" s="81">
        <v>0.02</v>
      </c>
      <c r="P30" s="38" t="s">
        <v>340</v>
      </c>
      <c r="Q30" s="38">
        <v>29</v>
      </c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.25" customHeight="1" x14ac:dyDescent="0.35">
      <c r="A31" s="38" t="s">
        <v>68</v>
      </c>
      <c r="B31" s="38">
        <v>137</v>
      </c>
      <c r="C31" s="38">
        <v>125</v>
      </c>
      <c r="D31" s="38">
        <v>146</v>
      </c>
      <c r="E31" s="81">
        <v>0.74</v>
      </c>
      <c r="F31" s="81">
        <v>0.18</v>
      </c>
      <c r="G31" s="81">
        <v>0.06</v>
      </c>
      <c r="H31" s="38" t="s">
        <v>340</v>
      </c>
      <c r="I31" s="81">
        <v>0.27</v>
      </c>
      <c r="J31" s="81">
        <v>0.28000000000000003</v>
      </c>
      <c r="K31" s="81">
        <v>0.28999999999999998</v>
      </c>
      <c r="L31" s="81">
        <v>0.05</v>
      </c>
      <c r="M31" s="81">
        <v>0.04</v>
      </c>
      <c r="N31" s="81">
        <v>0.03</v>
      </c>
      <c r="O31" s="81">
        <v>0.02</v>
      </c>
      <c r="P31" s="38" t="s">
        <v>340</v>
      </c>
      <c r="Q31" s="38">
        <v>30</v>
      </c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.25" customHeight="1" x14ac:dyDescent="0.35">
      <c r="A32" s="38" t="s">
        <v>52</v>
      </c>
      <c r="B32" s="38">
        <v>134</v>
      </c>
      <c r="C32" s="38">
        <v>121</v>
      </c>
      <c r="D32" s="38">
        <v>137</v>
      </c>
      <c r="E32" s="81">
        <v>0.76</v>
      </c>
      <c r="F32" s="81">
        <v>0.15</v>
      </c>
      <c r="G32" s="81">
        <v>0.08</v>
      </c>
      <c r="H32" s="38" t="s">
        <v>340</v>
      </c>
      <c r="I32" s="81">
        <v>0.21</v>
      </c>
      <c r="J32" s="81">
        <v>0.28000000000000003</v>
      </c>
      <c r="K32" s="81">
        <v>0.3</v>
      </c>
      <c r="L32" s="81">
        <v>0.1</v>
      </c>
      <c r="M32" s="81">
        <v>0.05</v>
      </c>
      <c r="N32" s="81">
        <v>0.04</v>
      </c>
      <c r="O32" s="81">
        <v>0.02</v>
      </c>
      <c r="P32" s="38" t="s">
        <v>340</v>
      </c>
      <c r="Q32" s="38">
        <v>31</v>
      </c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.25" customHeight="1" x14ac:dyDescent="0.35">
      <c r="A33" s="38" t="s">
        <v>69</v>
      </c>
      <c r="B33" s="38">
        <v>130</v>
      </c>
      <c r="C33" s="38">
        <v>116</v>
      </c>
      <c r="D33" s="38">
        <v>138</v>
      </c>
      <c r="E33" s="81">
        <v>0.73</v>
      </c>
      <c r="F33" s="81">
        <v>0.2</v>
      </c>
      <c r="G33" s="81">
        <v>7.0000000000000007E-2</v>
      </c>
      <c r="H33" s="38" t="s">
        <v>340</v>
      </c>
      <c r="I33" s="81">
        <v>0.24</v>
      </c>
      <c r="J33" s="81">
        <v>0.31</v>
      </c>
      <c r="K33" s="81">
        <v>0.3</v>
      </c>
      <c r="L33" s="81">
        <v>0.04</v>
      </c>
      <c r="M33" s="81">
        <v>0.04</v>
      </c>
      <c r="N33" s="81">
        <v>0.04</v>
      </c>
      <c r="O33" s="81">
        <v>0.02</v>
      </c>
      <c r="P33" s="38" t="s">
        <v>340</v>
      </c>
      <c r="Q33" s="38">
        <v>32</v>
      </c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.25" customHeight="1" x14ac:dyDescent="0.3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.25" customHeight="1" x14ac:dyDescent="0.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.25" customHeight="1" x14ac:dyDescent="0.3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.25" customHeight="1" x14ac:dyDescent="0.3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.25" customHeight="1" x14ac:dyDescent="0.3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.25" customHeight="1" x14ac:dyDescent="0.3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.25" customHeight="1" x14ac:dyDescent="0.3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.25" customHeight="1" x14ac:dyDescent="0.3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.25" customHeight="1" x14ac:dyDescent="0.3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.25" customHeight="1" x14ac:dyDescent="0.3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.25" customHeight="1" x14ac:dyDescent="0.3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.25" customHeight="1" x14ac:dyDescent="0.3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.25" customHeight="1" x14ac:dyDescent="0.3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.25" customHeight="1" x14ac:dyDescent="0.3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.25" customHeight="1" x14ac:dyDescent="0.3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.25" customHeight="1" x14ac:dyDescent="0.3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.25" customHeight="1" x14ac:dyDescent="0.3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.25" customHeight="1" x14ac:dyDescent="0.3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.25" customHeight="1" x14ac:dyDescent="0.3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.25" customHeight="1" x14ac:dyDescent="0.3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.25" customHeight="1" x14ac:dyDescent="0.3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.25" customHeight="1" x14ac:dyDescent="0.3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.25" customHeight="1" x14ac:dyDescent="0.3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.25" customHeight="1" x14ac:dyDescent="0.3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.25" customHeight="1" x14ac:dyDescent="0.3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.25" customHeight="1" x14ac:dyDescent="0.3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.25" customHeight="1" x14ac:dyDescent="0.3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.25" customHeight="1" x14ac:dyDescent="0.3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.25" customHeight="1" x14ac:dyDescent="0.3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.25" customHeight="1" x14ac:dyDescent="0.3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.25" customHeight="1" x14ac:dyDescent="0.3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.25" customHeight="1" x14ac:dyDescent="0.3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.25" customHeight="1" x14ac:dyDescent="0.3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.25" customHeight="1" x14ac:dyDescent="0.3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.25" customHeight="1" x14ac:dyDescent="0.3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.25" customHeight="1" x14ac:dyDescent="0.3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.25" customHeight="1" x14ac:dyDescent="0.3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.25" customHeight="1" x14ac:dyDescent="0.3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.25" customHeight="1" x14ac:dyDescent="0.3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.25" customHeight="1" x14ac:dyDescent="0.3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.25" customHeight="1" x14ac:dyDescent="0.3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.25" customHeight="1" x14ac:dyDescent="0.3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.25" customHeight="1" x14ac:dyDescent="0.3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.25" customHeight="1" x14ac:dyDescent="0.3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.25" customHeight="1" x14ac:dyDescent="0.3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.25" customHeight="1" x14ac:dyDescent="0.3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.25" customHeight="1" x14ac:dyDescent="0.3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.25" customHeight="1" x14ac:dyDescent="0.3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.25" customHeight="1" x14ac:dyDescent="0.3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.25" customHeight="1" x14ac:dyDescent="0.3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.25" customHeight="1" x14ac:dyDescent="0.3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.25" customHeight="1" x14ac:dyDescent="0.3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.25" customHeight="1" x14ac:dyDescent="0.3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.25" customHeight="1" x14ac:dyDescent="0.3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.25" customHeight="1" x14ac:dyDescent="0.3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.25" customHeight="1" x14ac:dyDescent="0.3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.25" customHeight="1" x14ac:dyDescent="0.3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.25" customHeight="1" x14ac:dyDescent="0.3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.25" customHeight="1" x14ac:dyDescent="0.3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.25" customHeight="1" x14ac:dyDescent="0.3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.25" customHeight="1" x14ac:dyDescent="0.3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.25" customHeight="1" x14ac:dyDescent="0.3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.25" customHeight="1" x14ac:dyDescent="0.3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.25" customHeight="1" x14ac:dyDescent="0.3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.25" customHeight="1" x14ac:dyDescent="0.3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.25" customHeight="1" x14ac:dyDescent="0.3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.25" customHeight="1" x14ac:dyDescent="0.3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4.25" customHeight="1" x14ac:dyDescent="0.3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4.25" customHeight="1" x14ac:dyDescent="0.3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4.25" customHeight="1" x14ac:dyDescent="0.3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4.25" customHeight="1" x14ac:dyDescent="0.3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4.25" customHeight="1" x14ac:dyDescent="0.3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4.25" customHeight="1" x14ac:dyDescent="0.3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4.25" customHeight="1" x14ac:dyDescent="0.3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4.25" customHeight="1" x14ac:dyDescent="0.3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4.25" customHeight="1" x14ac:dyDescent="0.3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4.25" customHeight="1" x14ac:dyDescent="0.3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4.25" customHeight="1" x14ac:dyDescent="0.3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4.25" customHeight="1" x14ac:dyDescent="0.3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4.25" customHeight="1" x14ac:dyDescent="0.3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4.25" customHeight="1" x14ac:dyDescent="0.3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4.25" customHeight="1" x14ac:dyDescent="0.3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4.25" customHeight="1" x14ac:dyDescent="0.3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4.25" customHeight="1" x14ac:dyDescent="0.3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4.25" customHeight="1" x14ac:dyDescent="0.3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4.25" customHeight="1" x14ac:dyDescent="0.3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4.25" customHeight="1" x14ac:dyDescent="0.3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4.25" customHeight="1" x14ac:dyDescent="0.3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4.25" customHeight="1" x14ac:dyDescent="0.3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4.25" customHeight="1" x14ac:dyDescent="0.3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4.25" customHeight="1" x14ac:dyDescent="0.3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4.25" customHeight="1" x14ac:dyDescent="0.3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4.25" customHeight="1" x14ac:dyDescent="0.3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4.25" customHeight="1" x14ac:dyDescent="0.3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4.25" customHeight="1" x14ac:dyDescent="0.3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4.25" customHeight="1" x14ac:dyDescent="0.3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4.25" customHeight="1" x14ac:dyDescent="0.3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4.25" customHeight="1" x14ac:dyDescent="0.3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4.25" customHeight="1" x14ac:dyDescent="0.3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4.25" customHeight="1" x14ac:dyDescent="0.3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4.25" customHeight="1" x14ac:dyDescent="0.3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4.25" customHeight="1" x14ac:dyDescent="0.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4.25" customHeight="1" x14ac:dyDescent="0.3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4.25" customHeight="1" x14ac:dyDescent="0.3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4.25" customHeight="1" x14ac:dyDescent="0.3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4.25" customHeight="1" x14ac:dyDescent="0.3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4.25" customHeight="1" x14ac:dyDescent="0.3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4.25" customHeight="1" x14ac:dyDescent="0.3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4.25" customHeight="1" x14ac:dyDescent="0.3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4.25" customHeight="1" x14ac:dyDescent="0.3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4.25" customHeight="1" x14ac:dyDescent="0.3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4.25" customHeight="1" x14ac:dyDescent="0.3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4.25" customHeight="1" x14ac:dyDescent="0.3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4.25" customHeight="1" x14ac:dyDescent="0.3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4.25" customHeight="1" x14ac:dyDescent="0.3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4.25" customHeight="1" x14ac:dyDescent="0.3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4.25" customHeight="1" x14ac:dyDescent="0.3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4.25" customHeight="1" x14ac:dyDescent="0.3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4.25" customHeight="1" x14ac:dyDescent="0.3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4.25" customHeight="1" x14ac:dyDescent="0.3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4.25" customHeight="1" x14ac:dyDescent="0.3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4.25" customHeight="1" x14ac:dyDescent="0.3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4.25" customHeight="1" x14ac:dyDescent="0.3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4.25" customHeight="1" x14ac:dyDescent="0.3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4.25" customHeight="1" x14ac:dyDescent="0.3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4.25" customHeight="1" x14ac:dyDescent="0.3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4.25" customHeight="1" x14ac:dyDescent="0.3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4.25" customHeight="1" x14ac:dyDescent="0.3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4.25" customHeight="1" x14ac:dyDescent="0.3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4.25" customHeight="1" x14ac:dyDescent="0.3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4.25" customHeight="1" x14ac:dyDescent="0.3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4.25" customHeight="1" x14ac:dyDescent="0.3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4.25" customHeight="1" x14ac:dyDescent="0.3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4.25" customHeight="1" x14ac:dyDescent="0.3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4.25" customHeight="1" x14ac:dyDescent="0.3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4.25" customHeight="1" x14ac:dyDescent="0.3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4.25" customHeight="1" x14ac:dyDescent="0.3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4.25" customHeight="1" x14ac:dyDescent="0.3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4.25" customHeight="1" x14ac:dyDescent="0.3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4.25" customHeight="1" x14ac:dyDescent="0.3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4.25" customHeight="1" x14ac:dyDescent="0.3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4.25" customHeight="1" x14ac:dyDescent="0.3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4.25" customHeight="1" x14ac:dyDescent="0.3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4.25" customHeight="1" x14ac:dyDescent="0.3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4.25" customHeight="1" x14ac:dyDescent="0.3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4.25" customHeight="1" x14ac:dyDescent="0.3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4.25" customHeight="1" x14ac:dyDescent="0.3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4.25" customHeight="1" x14ac:dyDescent="0.3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4.25" customHeight="1" x14ac:dyDescent="0.3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4.25" customHeight="1" x14ac:dyDescent="0.3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4.25" customHeight="1" x14ac:dyDescent="0.3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4.25" customHeight="1" x14ac:dyDescent="0.3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4.25" customHeight="1" x14ac:dyDescent="0.3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4.25" customHeight="1" x14ac:dyDescent="0.3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4.25" customHeight="1" x14ac:dyDescent="0.3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4.25" customHeight="1" x14ac:dyDescent="0.3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4.25" customHeight="1" x14ac:dyDescent="0.3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4.25" customHeight="1" x14ac:dyDescent="0.3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4.25" customHeight="1" x14ac:dyDescent="0.3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4.25" customHeight="1" x14ac:dyDescent="0.3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4.25" customHeight="1" x14ac:dyDescent="0.3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4.25" customHeight="1" x14ac:dyDescent="0.3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4.25" customHeight="1" x14ac:dyDescent="0.3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4.25" customHeight="1" x14ac:dyDescent="0.3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4.25" customHeight="1" x14ac:dyDescent="0.3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4.25" customHeight="1" x14ac:dyDescent="0.3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4.25" customHeight="1" x14ac:dyDescent="0.3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4.25" customHeight="1" x14ac:dyDescent="0.3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4.25" customHeight="1" x14ac:dyDescent="0.3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4.25" customHeight="1" x14ac:dyDescent="0.3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4.25" customHeight="1" x14ac:dyDescent="0.3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4.25" customHeight="1" x14ac:dyDescent="0.3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4.25" customHeight="1" x14ac:dyDescent="0.3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4.25" customHeight="1" x14ac:dyDescent="0.3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4.25" customHeight="1" x14ac:dyDescent="0.3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4.25" customHeight="1" x14ac:dyDescent="0.3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4.25" customHeight="1" x14ac:dyDescent="0.3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4.25" customHeight="1" x14ac:dyDescent="0.3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4.25" customHeight="1" x14ac:dyDescent="0.3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4.25" customHeight="1" x14ac:dyDescent="0.3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4.25" customHeight="1" x14ac:dyDescent="0.3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4.25" customHeight="1" x14ac:dyDescent="0.3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4.25" customHeight="1" x14ac:dyDescent="0.3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4.25" customHeight="1" x14ac:dyDescent="0.3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4.25" customHeight="1" x14ac:dyDescent="0.3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4.25" customHeight="1" x14ac:dyDescent="0.3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4.25" customHeight="1" x14ac:dyDescent="0.3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4.25" customHeight="1" x14ac:dyDescent="0.3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4.25" customHeight="1" x14ac:dyDescent="0.3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4.25" customHeight="1" x14ac:dyDescent="0.3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4.25" customHeight="1" x14ac:dyDescent="0.3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4.25" customHeight="1" x14ac:dyDescent="0.3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4.25" customHeight="1" x14ac:dyDescent="0.3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4.25" customHeight="1" x14ac:dyDescent="0.3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4.25" customHeight="1" x14ac:dyDescent="0.3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4.25" customHeight="1" x14ac:dyDescent="0.3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4.25" customHeight="1" x14ac:dyDescent="0.3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4.25" customHeight="1" x14ac:dyDescent="0.3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4.25" customHeight="1" x14ac:dyDescent="0.3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4.25" customHeight="1" x14ac:dyDescent="0.3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4.25" customHeight="1" x14ac:dyDescent="0.35"/>
    <row r="235" spans="1:26" ht="14.25" customHeight="1" x14ac:dyDescent="0.35"/>
    <row r="236" spans="1:26" ht="14.25" customHeight="1" x14ac:dyDescent="0.35"/>
    <row r="237" spans="1:26" ht="14.25" customHeight="1" x14ac:dyDescent="0.35"/>
    <row r="238" spans="1:26" ht="14.25" customHeight="1" x14ac:dyDescent="0.35"/>
    <row r="239" spans="1:26" ht="14.25" customHeight="1" x14ac:dyDescent="0.35"/>
    <row r="240" spans="1:26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2.6328125" defaultRowHeight="15" customHeight="1" x14ac:dyDescent="0.35"/>
  <cols>
    <col min="1" max="26" width="8.6328125" customWidth="1"/>
  </cols>
  <sheetData>
    <row r="1" spans="1:26" ht="14.25" customHeight="1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4.25" customHeight="1" x14ac:dyDescent="0.3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4.25" customHeight="1" x14ac:dyDescent="0.35">
      <c r="A3" s="82"/>
      <c r="B3" s="83" t="s">
        <v>347</v>
      </c>
      <c r="C3" s="84" t="s">
        <v>348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25"/>
      <c r="S3" s="25"/>
      <c r="T3" s="25"/>
      <c r="U3" s="25"/>
      <c r="V3" s="25"/>
      <c r="W3" s="25"/>
      <c r="X3" s="25"/>
      <c r="Y3" s="25"/>
      <c r="Z3" s="25"/>
    </row>
    <row r="4" spans="1:26" ht="14.25" customHeight="1" x14ac:dyDescent="0.35">
      <c r="A4" s="85" t="s">
        <v>349</v>
      </c>
      <c r="B4" s="85" t="s">
        <v>350</v>
      </c>
      <c r="C4" s="86">
        <v>2018</v>
      </c>
      <c r="D4" s="87">
        <v>2019</v>
      </c>
      <c r="E4" s="87">
        <v>2020</v>
      </c>
      <c r="F4" s="87">
        <v>2021</v>
      </c>
      <c r="G4" s="87">
        <v>2022</v>
      </c>
      <c r="H4" s="87">
        <v>2023</v>
      </c>
      <c r="I4" s="87">
        <v>2024</v>
      </c>
      <c r="J4" s="87">
        <v>2025</v>
      </c>
      <c r="K4" s="87">
        <v>2026</v>
      </c>
      <c r="L4" s="87">
        <v>2027</v>
      </c>
      <c r="M4" s="87">
        <v>2028</v>
      </c>
      <c r="N4" s="87">
        <v>2029</v>
      </c>
      <c r="O4" s="87">
        <v>2030</v>
      </c>
      <c r="P4" s="87" t="s">
        <v>351</v>
      </c>
      <c r="Q4" s="88" t="s">
        <v>352</v>
      </c>
      <c r="R4" s="25"/>
      <c r="S4" s="25"/>
      <c r="T4" s="25"/>
      <c r="U4" s="25"/>
      <c r="V4" s="25"/>
      <c r="W4" s="25"/>
      <c r="X4" s="25"/>
      <c r="Y4" s="25"/>
      <c r="Z4" s="25"/>
    </row>
    <row r="5" spans="1:26" ht="14.25" customHeight="1" x14ac:dyDescent="0.35">
      <c r="A5" s="89"/>
      <c r="B5" s="89" t="s">
        <v>353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1">
        <v>5</v>
      </c>
      <c r="Q5" s="91">
        <v>5</v>
      </c>
      <c r="R5" s="25"/>
      <c r="S5" s="25"/>
      <c r="T5" s="25"/>
      <c r="U5" s="25"/>
      <c r="V5" s="25"/>
      <c r="W5" s="25"/>
      <c r="X5" s="25"/>
      <c r="Y5" s="25"/>
      <c r="Z5" s="25"/>
    </row>
    <row r="6" spans="1:26" ht="14.25" customHeight="1" x14ac:dyDescent="0.35">
      <c r="A6" s="89" t="s">
        <v>354</v>
      </c>
      <c r="B6" s="89" t="s">
        <v>353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1">
        <v>1</v>
      </c>
      <c r="Q6" s="91">
        <v>1</v>
      </c>
      <c r="R6" s="25"/>
      <c r="S6" s="25"/>
      <c r="T6" s="25"/>
      <c r="U6" s="25"/>
      <c r="V6" s="25"/>
      <c r="W6" s="25"/>
      <c r="X6" s="25"/>
      <c r="Y6" s="25"/>
      <c r="Z6" s="25"/>
    </row>
    <row r="7" spans="1:26" ht="14.25" customHeight="1" x14ac:dyDescent="0.35">
      <c r="A7" s="89" t="s">
        <v>355</v>
      </c>
      <c r="B7" s="89" t="s">
        <v>353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1">
        <v>1</v>
      </c>
      <c r="Q7" s="91">
        <v>1</v>
      </c>
      <c r="R7" s="25"/>
      <c r="S7" s="25"/>
      <c r="T7" s="25"/>
      <c r="U7" s="25"/>
      <c r="V7" s="25"/>
      <c r="W7" s="25"/>
      <c r="X7" s="25"/>
      <c r="Y7" s="25"/>
      <c r="Z7" s="25"/>
    </row>
    <row r="8" spans="1:26" ht="14.25" customHeight="1" x14ac:dyDescent="0.35">
      <c r="A8" s="89" t="s">
        <v>356</v>
      </c>
      <c r="B8" s="89" t="s">
        <v>353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1">
        <v>1</v>
      </c>
      <c r="Q8" s="91">
        <v>1</v>
      </c>
      <c r="R8" s="25"/>
      <c r="S8" s="25"/>
      <c r="T8" s="25"/>
      <c r="U8" s="25"/>
      <c r="V8" s="25"/>
      <c r="W8" s="25"/>
      <c r="X8" s="25"/>
      <c r="Y8" s="25"/>
      <c r="Z8" s="25"/>
    </row>
    <row r="9" spans="1:26" ht="14.25" customHeight="1" x14ac:dyDescent="0.35">
      <c r="A9" s="89" t="s">
        <v>357</v>
      </c>
      <c r="B9" s="89" t="s">
        <v>353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1">
        <v>1</v>
      </c>
      <c r="Q9" s="91">
        <v>1</v>
      </c>
      <c r="R9" s="25"/>
      <c r="S9" s="25"/>
      <c r="T9" s="25"/>
      <c r="U9" s="25"/>
      <c r="V9" s="25"/>
      <c r="W9" s="25"/>
      <c r="X9" s="25"/>
      <c r="Y9" s="25"/>
      <c r="Z9" s="25"/>
    </row>
    <row r="10" spans="1:26" ht="14.25" customHeight="1" x14ac:dyDescent="0.35">
      <c r="A10" s="89" t="s">
        <v>358</v>
      </c>
      <c r="B10" s="89" t="s">
        <v>353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1">
        <v>1</v>
      </c>
      <c r="Q10" s="91">
        <v>1</v>
      </c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4.25" customHeight="1" x14ac:dyDescent="0.35">
      <c r="A11" s="89" t="s">
        <v>359</v>
      </c>
      <c r="B11" s="89" t="s">
        <v>353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1">
        <v>1</v>
      </c>
      <c r="Q11" s="91">
        <v>1</v>
      </c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25" customHeight="1" x14ac:dyDescent="0.35">
      <c r="A12" s="89" t="s">
        <v>360</v>
      </c>
      <c r="B12" s="89" t="s">
        <v>353</v>
      </c>
      <c r="C12" s="90"/>
      <c r="D12" s="90"/>
      <c r="E12" s="90"/>
      <c r="F12" s="90"/>
      <c r="G12" s="91">
        <v>1</v>
      </c>
      <c r="H12" s="90"/>
      <c r="I12" s="90"/>
      <c r="J12" s="90"/>
      <c r="K12" s="90"/>
      <c r="L12" s="90"/>
      <c r="M12" s="90"/>
      <c r="N12" s="90"/>
      <c r="O12" s="90"/>
      <c r="P12" s="90"/>
      <c r="Q12" s="91">
        <v>1</v>
      </c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4.25" customHeight="1" x14ac:dyDescent="0.35">
      <c r="A13" s="89" t="s">
        <v>361</v>
      </c>
      <c r="B13" s="89" t="s">
        <v>353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1">
        <v>1</v>
      </c>
      <c r="Q13" s="91">
        <v>1</v>
      </c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25" customHeight="1" x14ac:dyDescent="0.35">
      <c r="A14" s="89" t="s">
        <v>362</v>
      </c>
      <c r="B14" s="89" t="s">
        <v>353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1">
        <v>3</v>
      </c>
      <c r="Q14" s="91">
        <v>3</v>
      </c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4.25" customHeight="1" x14ac:dyDescent="0.35">
      <c r="A15" s="89" t="s">
        <v>363</v>
      </c>
      <c r="B15" s="89" t="s">
        <v>353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1">
        <v>1</v>
      </c>
      <c r="Q15" s="91">
        <v>1</v>
      </c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4.25" customHeight="1" x14ac:dyDescent="0.35">
      <c r="A16" s="89" t="s">
        <v>364</v>
      </c>
      <c r="B16" s="89" t="s">
        <v>353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1">
        <v>1</v>
      </c>
      <c r="Q16" s="91">
        <v>1</v>
      </c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4.25" customHeight="1" x14ac:dyDescent="0.35">
      <c r="A17" s="89" t="s">
        <v>365</v>
      </c>
      <c r="B17" s="89" t="s">
        <v>353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1">
        <v>1</v>
      </c>
      <c r="Q17" s="91">
        <v>1</v>
      </c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 x14ac:dyDescent="0.35">
      <c r="A18" s="89" t="s">
        <v>366</v>
      </c>
      <c r="B18" s="89" t="s">
        <v>353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1">
        <v>1</v>
      </c>
      <c r="Q18" s="91">
        <v>1</v>
      </c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.25" customHeight="1" x14ac:dyDescent="0.35">
      <c r="A19" s="89" t="s">
        <v>367</v>
      </c>
      <c r="B19" s="89" t="s">
        <v>353</v>
      </c>
      <c r="C19" s="90"/>
      <c r="D19" s="90"/>
      <c r="E19" s="91">
        <v>1</v>
      </c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1">
        <v>1</v>
      </c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4.25" customHeight="1" x14ac:dyDescent="0.35">
      <c r="A20" s="89" t="s">
        <v>368</v>
      </c>
      <c r="B20" s="89" t="s">
        <v>353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1">
        <v>1</v>
      </c>
      <c r="Q20" s="91">
        <v>1</v>
      </c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4.25" customHeight="1" x14ac:dyDescent="0.35">
      <c r="A21" s="89" t="s">
        <v>369</v>
      </c>
      <c r="B21" s="89" t="s">
        <v>353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1">
        <v>1</v>
      </c>
      <c r="Q21" s="91">
        <v>1</v>
      </c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25" customHeight="1" x14ac:dyDescent="0.35">
      <c r="A22" s="89" t="s">
        <v>370</v>
      </c>
      <c r="B22" s="89" t="s">
        <v>353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1">
        <v>1</v>
      </c>
      <c r="Q22" s="91">
        <v>1</v>
      </c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4.25" customHeight="1" x14ac:dyDescent="0.35">
      <c r="A23" s="89" t="s">
        <v>371</v>
      </c>
      <c r="B23" s="89" t="s">
        <v>353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1">
        <v>2</v>
      </c>
      <c r="Q23" s="91">
        <v>2</v>
      </c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25" customHeight="1" x14ac:dyDescent="0.35">
      <c r="A24" s="89" t="s">
        <v>372</v>
      </c>
      <c r="B24" s="89" t="s">
        <v>353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1">
        <v>2</v>
      </c>
      <c r="Q24" s="91">
        <v>2</v>
      </c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25" customHeight="1" x14ac:dyDescent="0.35">
      <c r="A25" s="89" t="s">
        <v>373</v>
      </c>
      <c r="B25" s="89" t="s">
        <v>353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1">
        <v>2</v>
      </c>
      <c r="Q25" s="91">
        <v>2</v>
      </c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25" customHeight="1" x14ac:dyDescent="0.35">
      <c r="A26" s="89" t="s">
        <v>351</v>
      </c>
      <c r="B26" s="89" t="s">
        <v>353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>
        <v>1794</v>
      </c>
      <c r="Q26" s="91">
        <v>1794</v>
      </c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25" customHeight="1" x14ac:dyDescent="0.35">
      <c r="A27" s="89" t="s">
        <v>374</v>
      </c>
      <c r="B27" s="89" t="s">
        <v>353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1">
        <v>10</v>
      </c>
      <c r="Q27" s="91">
        <v>10</v>
      </c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25" customHeight="1" x14ac:dyDescent="0.35">
      <c r="A28" s="89" t="s">
        <v>375</v>
      </c>
      <c r="B28" s="89" t="s">
        <v>353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1">
        <v>2</v>
      </c>
      <c r="Q28" s="91">
        <v>2</v>
      </c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25" customHeight="1" x14ac:dyDescent="0.35">
      <c r="A29" s="89" t="s">
        <v>376</v>
      </c>
      <c r="B29" s="89" t="s">
        <v>353</v>
      </c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1">
        <v>1</v>
      </c>
      <c r="Q29" s="91">
        <v>1</v>
      </c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25" customHeight="1" x14ac:dyDescent="0.35">
      <c r="A30" s="89" t="s">
        <v>377</v>
      </c>
      <c r="B30" s="89" t="s">
        <v>353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1">
        <v>2</v>
      </c>
      <c r="Q30" s="91">
        <v>2</v>
      </c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 x14ac:dyDescent="0.35">
      <c r="A31" s="89" t="s">
        <v>378</v>
      </c>
      <c r="B31" s="89" t="s">
        <v>353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1">
        <v>2</v>
      </c>
      <c r="Q31" s="91">
        <v>2</v>
      </c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 x14ac:dyDescent="0.35">
      <c r="A32" s="92" t="s">
        <v>379</v>
      </c>
      <c r="B32" s="89" t="s">
        <v>353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4">
        <v>1</v>
      </c>
      <c r="Q32" s="94">
        <v>1</v>
      </c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 x14ac:dyDescent="0.35">
      <c r="A33" s="82"/>
      <c r="B33" s="82" t="s">
        <v>380</v>
      </c>
      <c r="C33" s="82"/>
      <c r="D33" s="82"/>
      <c r="E33" s="95">
        <v>1</v>
      </c>
      <c r="F33" s="82"/>
      <c r="G33" s="95">
        <v>1</v>
      </c>
      <c r="H33" s="82"/>
      <c r="I33" s="82"/>
      <c r="J33" s="82"/>
      <c r="K33" s="82"/>
      <c r="L33" s="82"/>
      <c r="M33" s="82"/>
      <c r="N33" s="82"/>
      <c r="O33" s="82"/>
      <c r="P33" s="95">
        <v>1840</v>
      </c>
      <c r="Q33" s="95">
        <v>1842</v>
      </c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 x14ac:dyDescent="0.35">
      <c r="A34" s="89" t="s">
        <v>381</v>
      </c>
      <c r="B34" s="89" t="s">
        <v>382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1">
        <v>1</v>
      </c>
      <c r="Q34" s="91">
        <v>1</v>
      </c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 x14ac:dyDescent="0.35">
      <c r="A35" s="89" t="s">
        <v>383</v>
      </c>
      <c r="B35" s="89" t="s">
        <v>382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1">
        <v>1</v>
      </c>
      <c r="Q35" s="91">
        <v>1</v>
      </c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 x14ac:dyDescent="0.35">
      <c r="A36" s="89" t="s">
        <v>384</v>
      </c>
      <c r="B36" s="89" t="s">
        <v>382</v>
      </c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1">
        <v>1</v>
      </c>
      <c r="Q36" s="91">
        <v>1</v>
      </c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 x14ac:dyDescent="0.35">
      <c r="A37" s="89" t="s">
        <v>385</v>
      </c>
      <c r="B37" s="89" t="s">
        <v>382</v>
      </c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1">
        <v>1</v>
      </c>
      <c r="Q37" s="91">
        <v>1</v>
      </c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 x14ac:dyDescent="0.35">
      <c r="A38" s="89" t="s">
        <v>41</v>
      </c>
      <c r="B38" s="89" t="s">
        <v>382</v>
      </c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1">
        <v>518</v>
      </c>
      <c r="P38" s="90"/>
      <c r="Q38" s="91">
        <v>518</v>
      </c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 x14ac:dyDescent="0.35">
      <c r="A39" s="89" t="s">
        <v>27</v>
      </c>
      <c r="B39" s="89" t="s">
        <v>382</v>
      </c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1">
        <v>1601</v>
      </c>
      <c r="N39" s="90"/>
      <c r="O39" s="90"/>
      <c r="P39" s="90"/>
      <c r="Q39" s="91">
        <v>1601</v>
      </c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 x14ac:dyDescent="0.35">
      <c r="A40" s="89" t="s">
        <v>386</v>
      </c>
      <c r="B40" s="89" t="s">
        <v>382</v>
      </c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1">
        <v>1</v>
      </c>
      <c r="N40" s="90"/>
      <c r="O40" s="90"/>
      <c r="P40" s="90"/>
      <c r="Q40" s="91">
        <v>1</v>
      </c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 x14ac:dyDescent="0.35">
      <c r="A41" s="89" t="s">
        <v>25</v>
      </c>
      <c r="B41" s="89" t="s">
        <v>382</v>
      </c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1">
        <v>2260</v>
      </c>
      <c r="O41" s="90"/>
      <c r="P41" s="91">
        <v>1</v>
      </c>
      <c r="Q41" s="91">
        <v>2261</v>
      </c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 x14ac:dyDescent="0.35">
      <c r="A42" s="89" t="s">
        <v>31</v>
      </c>
      <c r="B42" s="89" t="s">
        <v>382</v>
      </c>
      <c r="C42" s="90"/>
      <c r="D42" s="90"/>
      <c r="E42" s="90"/>
      <c r="F42" s="90"/>
      <c r="G42" s="90"/>
      <c r="H42" s="90"/>
      <c r="I42" s="90"/>
      <c r="J42" s="90"/>
      <c r="K42" s="90"/>
      <c r="L42" s="91">
        <v>1072</v>
      </c>
      <c r="M42" s="90"/>
      <c r="N42" s="90"/>
      <c r="O42" s="90"/>
      <c r="P42" s="90"/>
      <c r="Q42" s="91">
        <v>1072</v>
      </c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 x14ac:dyDescent="0.35">
      <c r="A43" s="89" t="s">
        <v>387</v>
      </c>
      <c r="B43" s="89" t="s">
        <v>382</v>
      </c>
      <c r="C43" s="90"/>
      <c r="D43" s="90"/>
      <c r="E43" s="90"/>
      <c r="F43" s="90"/>
      <c r="G43" s="91">
        <v>14</v>
      </c>
      <c r="H43" s="90"/>
      <c r="I43" s="90"/>
      <c r="J43" s="90"/>
      <c r="K43" s="90"/>
      <c r="L43" s="90"/>
      <c r="M43" s="90"/>
      <c r="N43" s="90"/>
      <c r="O43" s="90"/>
      <c r="P43" s="90"/>
      <c r="Q43" s="91">
        <v>14</v>
      </c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 x14ac:dyDescent="0.35">
      <c r="A44" s="89" t="s">
        <v>388</v>
      </c>
      <c r="B44" s="89" t="s">
        <v>382</v>
      </c>
      <c r="C44" s="90"/>
      <c r="D44" s="90"/>
      <c r="E44" s="90"/>
      <c r="F44" s="90"/>
      <c r="G44" s="90"/>
      <c r="H44" s="91">
        <v>74</v>
      </c>
      <c r="I44" s="90"/>
      <c r="J44" s="90"/>
      <c r="K44" s="90"/>
      <c r="L44" s="90"/>
      <c r="M44" s="90"/>
      <c r="N44" s="90"/>
      <c r="O44" s="90"/>
      <c r="P44" s="90"/>
      <c r="Q44" s="91">
        <v>74</v>
      </c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 x14ac:dyDescent="0.35">
      <c r="A45" s="89" t="s">
        <v>389</v>
      </c>
      <c r="B45" s="89" t="s">
        <v>382</v>
      </c>
      <c r="C45" s="90"/>
      <c r="D45" s="90"/>
      <c r="E45" s="90"/>
      <c r="F45" s="90"/>
      <c r="G45" s="90"/>
      <c r="H45" s="90"/>
      <c r="I45" s="90"/>
      <c r="J45" s="91">
        <v>282</v>
      </c>
      <c r="K45" s="90"/>
      <c r="L45" s="90"/>
      <c r="M45" s="90"/>
      <c r="N45" s="90"/>
      <c r="O45" s="90"/>
      <c r="P45" s="90"/>
      <c r="Q45" s="91">
        <v>282</v>
      </c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 x14ac:dyDescent="0.35">
      <c r="A46" s="92" t="s">
        <v>21</v>
      </c>
      <c r="B46" s="89" t="s">
        <v>382</v>
      </c>
      <c r="C46" s="93"/>
      <c r="D46" s="93"/>
      <c r="E46" s="93"/>
      <c r="F46" s="93"/>
      <c r="G46" s="93"/>
      <c r="H46" s="93"/>
      <c r="I46" s="93"/>
      <c r="J46" s="93"/>
      <c r="K46" s="94">
        <v>2568</v>
      </c>
      <c r="L46" s="93"/>
      <c r="M46" s="93"/>
      <c r="N46" s="93"/>
      <c r="O46" s="93"/>
      <c r="P46" s="93"/>
      <c r="Q46" s="94">
        <v>2568</v>
      </c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 x14ac:dyDescent="0.35">
      <c r="A47" s="82"/>
      <c r="B47" s="96" t="s">
        <v>390</v>
      </c>
      <c r="C47" s="82"/>
      <c r="D47" s="82"/>
      <c r="E47" s="82"/>
      <c r="F47" s="82"/>
      <c r="G47" s="95">
        <v>14</v>
      </c>
      <c r="H47" s="95">
        <v>74</v>
      </c>
      <c r="I47" s="82"/>
      <c r="J47" s="95">
        <v>282</v>
      </c>
      <c r="K47" s="95">
        <v>2568</v>
      </c>
      <c r="L47" s="95">
        <v>1072</v>
      </c>
      <c r="M47" s="95">
        <v>1602</v>
      </c>
      <c r="N47" s="95">
        <v>2260</v>
      </c>
      <c r="O47" s="95">
        <v>518</v>
      </c>
      <c r="P47" s="95">
        <v>5</v>
      </c>
      <c r="Q47" s="95">
        <v>8395</v>
      </c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 x14ac:dyDescent="0.35">
      <c r="A48" s="89" t="s">
        <v>391</v>
      </c>
      <c r="B48" s="89" t="s">
        <v>392</v>
      </c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1">
        <v>1</v>
      </c>
      <c r="Q48" s="91">
        <v>1</v>
      </c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 x14ac:dyDescent="0.35">
      <c r="A49" s="89" t="s">
        <v>393</v>
      </c>
      <c r="B49" s="89" t="s">
        <v>392</v>
      </c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1">
        <v>8</v>
      </c>
      <c r="Q49" s="91">
        <v>8</v>
      </c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 x14ac:dyDescent="0.35">
      <c r="A50" s="89" t="s">
        <v>394</v>
      </c>
      <c r="B50" s="89" t="s">
        <v>392</v>
      </c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1">
        <v>4</v>
      </c>
      <c r="Q50" s="91">
        <v>4</v>
      </c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 x14ac:dyDescent="0.35">
      <c r="A51" s="89" t="s">
        <v>395</v>
      </c>
      <c r="B51" s="89" t="s">
        <v>392</v>
      </c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1">
        <v>1</v>
      </c>
      <c r="Q51" s="91">
        <v>1</v>
      </c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 x14ac:dyDescent="0.35">
      <c r="A52" s="89" t="s">
        <v>396</v>
      </c>
      <c r="B52" s="89" t="s">
        <v>392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1">
        <v>1</v>
      </c>
      <c r="Q52" s="91">
        <v>1</v>
      </c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 x14ac:dyDescent="0.35">
      <c r="A53" s="89" t="s">
        <v>397</v>
      </c>
      <c r="B53" s="89" t="s">
        <v>392</v>
      </c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1">
        <v>1</v>
      </c>
      <c r="Q53" s="91">
        <v>1</v>
      </c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 x14ac:dyDescent="0.35">
      <c r="A54" s="89" t="s">
        <v>398</v>
      </c>
      <c r="B54" s="89" t="s">
        <v>392</v>
      </c>
      <c r="C54" s="90"/>
      <c r="D54" s="90"/>
      <c r="E54" s="90"/>
      <c r="F54" s="90"/>
      <c r="G54" s="91">
        <v>1</v>
      </c>
      <c r="H54" s="90"/>
      <c r="I54" s="90"/>
      <c r="J54" s="90"/>
      <c r="K54" s="90"/>
      <c r="L54" s="90"/>
      <c r="M54" s="90"/>
      <c r="N54" s="90"/>
      <c r="O54" s="90"/>
      <c r="P54" s="90"/>
      <c r="Q54" s="91">
        <v>1</v>
      </c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 x14ac:dyDescent="0.35">
      <c r="A55" s="89" t="s">
        <v>399</v>
      </c>
      <c r="B55" s="89" t="s">
        <v>392</v>
      </c>
      <c r="C55" s="90"/>
      <c r="D55" s="90"/>
      <c r="E55" s="90"/>
      <c r="F55" s="90"/>
      <c r="G55" s="90"/>
      <c r="H55" s="90"/>
      <c r="I55" s="90"/>
      <c r="J55" s="90"/>
      <c r="K55" s="91">
        <v>1</v>
      </c>
      <c r="L55" s="90"/>
      <c r="M55" s="90"/>
      <c r="N55" s="90"/>
      <c r="O55" s="90"/>
      <c r="P55" s="90"/>
      <c r="Q55" s="91">
        <v>1</v>
      </c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 x14ac:dyDescent="0.35">
      <c r="A56" s="89" t="s">
        <v>400</v>
      </c>
      <c r="B56" s="89" t="s">
        <v>392</v>
      </c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1">
        <v>1</v>
      </c>
      <c r="Q56" s="91">
        <v>1</v>
      </c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 x14ac:dyDescent="0.35">
      <c r="A57" s="89" t="s">
        <v>401</v>
      </c>
      <c r="B57" s="89" t="s">
        <v>392</v>
      </c>
      <c r="C57" s="90"/>
      <c r="D57" s="90"/>
      <c r="E57" s="90"/>
      <c r="F57" s="90"/>
      <c r="G57" s="90"/>
      <c r="H57" s="90"/>
      <c r="I57" s="90"/>
      <c r="J57" s="90"/>
      <c r="K57" s="91">
        <v>1</v>
      </c>
      <c r="L57" s="90"/>
      <c r="M57" s="90"/>
      <c r="N57" s="90"/>
      <c r="O57" s="90"/>
      <c r="P57" s="90"/>
      <c r="Q57" s="91">
        <v>1</v>
      </c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 x14ac:dyDescent="0.35">
      <c r="A58" s="89" t="s">
        <v>402</v>
      </c>
      <c r="B58" s="89" t="s">
        <v>392</v>
      </c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1">
        <v>1</v>
      </c>
      <c r="Q58" s="91">
        <v>1</v>
      </c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 x14ac:dyDescent="0.35">
      <c r="A59" s="89" t="s">
        <v>403</v>
      </c>
      <c r="B59" s="89" t="s">
        <v>392</v>
      </c>
      <c r="C59" s="90"/>
      <c r="D59" s="90"/>
      <c r="E59" s="90"/>
      <c r="F59" s="90"/>
      <c r="G59" s="91">
        <v>2</v>
      </c>
      <c r="H59" s="90"/>
      <c r="I59" s="90"/>
      <c r="J59" s="90"/>
      <c r="K59" s="90"/>
      <c r="L59" s="90"/>
      <c r="M59" s="90"/>
      <c r="N59" s="90"/>
      <c r="O59" s="90"/>
      <c r="P59" s="90"/>
      <c r="Q59" s="91">
        <v>2</v>
      </c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 x14ac:dyDescent="0.35">
      <c r="A60" s="89" t="s">
        <v>404</v>
      </c>
      <c r="B60" s="89" t="s">
        <v>392</v>
      </c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1">
        <v>1</v>
      </c>
      <c r="O60" s="90"/>
      <c r="P60" s="90"/>
      <c r="Q60" s="91">
        <v>1</v>
      </c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 x14ac:dyDescent="0.35">
      <c r="A61" s="89" t="s">
        <v>405</v>
      </c>
      <c r="B61" s="89" t="s">
        <v>392</v>
      </c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1">
        <v>1</v>
      </c>
      <c r="Q61" s="91">
        <v>1</v>
      </c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 x14ac:dyDescent="0.35">
      <c r="A62" s="89" t="s">
        <v>406</v>
      </c>
      <c r="B62" s="89" t="s">
        <v>392</v>
      </c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1">
        <v>1</v>
      </c>
      <c r="P62" s="90"/>
      <c r="Q62" s="91">
        <v>1</v>
      </c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 x14ac:dyDescent="0.35">
      <c r="A63" s="89" t="s">
        <v>41</v>
      </c>
      <c r="B63" s="89" t="s">
        <v>392</v>
      </c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1">
        <v>2861</v>
      </c>
      <c r="P63" s="90"/>
      <c r="Q63" s="91">
        <v>2861</v>
      </c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 x14ac:dyDescent="0.35">
      <c r="A64" s="89" t="s">
        <v>407</v>
      </c>
      <c r="B64" s="89" t="s">
        <v>392</v>
      </c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1">
        <v>2</v>
      </c>
      <c r="Q64" s="91">
        <v>2</v>
      </c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 x14ac:dyDescent="0.35">
      <c r="A65" s="89" t="s">
        <v>408</v>
      </c>
      <c r="B65" s="89" t="s">
        <v>392</v>
      </c>
      <c r="C65" s="90"/>
      <c r="D65" s="90"/>
      <c r="E65" s="91">
        <v>11</v>
      </c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1">
        <v>11</v>
      </c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 x14ac:dyDescent="0.35">
      <c r="A66" s="89" t="s">
        <v>409</v>
      </c>
      <c r="B66" s="89" t="s">
        <v>392</v>
      </c>
      <c r="C66" s="90"/>
      <c r="D66" s="90"/>
      <c r="E66" s="90"/>
      <c r="F66" s="90"/>
      <c r="G66" s="90"/>
      <c r="H66" s="90"/>
      <c r="I66" s="90"/>
      <c r="J66" s="91">
        <v>1</v>
      </c>
      <c r="K66" s="90"/>
      <c r="L66" s="90"/>
      <c r="M66" s="90"/>
      <c r="N66" s="90"/>
      <c r="O66" s="90"/>
      <c r="P66" s="90"/>
      <c r="Q66" s="91">
        <v>1</v>
      </c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 x14ac:dyDescent="0.35">
      <c r="A67" s="89" t="s">
        <v>410</v>
      </c>
      <c r="B67" s="89" t="s">
        <v>392</v>
      </c>
      <c r="C67" s="90"/>
      <c r="D67" s="90"/>
      <c r="E67" s="90"/>
      <c r="F67" s="90"/>
      <c r="G67" s="90"/>
      <c r="H67" s="90"/>
      <c r="I67" s="90"/>
      <c r="J67" s="90"/>
      <c r="K67" s="91">
        <v>2</v>
      </c>
      <c r="L67" s="90"/>
      <c r="M67" s="90"/>
      <c r="N67" s="90"/>
      <c r="O67" s="90"/>
      <c r="P67" s="90"/>
      <c r="Q67" s="91">
        <v>2</v>
      </c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 x14ac:dyDescent="0.35">
      <c r="A68" s="89" t="s">
        <v>27</v>
      </c>
      <c r="B68" s="89" t="s">
        <v>392</v>
      </c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1">
        <v>11700</v>
      </c>
      <c r="N68" s="90"/>
      <c r="O68" s="90"/>
      <c r="P68" s="91">
        <v>2</v>
      </c>
      <c r="Q68" s="91">
        <v>11702</v>
      </c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 x14ac:dyDescent="0.35">
      <c r="A69" s="97" t="s">
        <v>411</v>
      </c>
      <c r="B69" s="89" t="s">
        <v>392</v>
      </c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1">
        <v>1</v>
      </c>
      <c r="N69" s="90"/>
      <c r="O69" s="90"/>
      <c r="P69" s="90"/>
      <c r="Q69" s="91">
        <v>1</v>
      </c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 x14ac:dyDescent="0.35">
      <c r="A70" s="97" t="s">
        <v>412</v>
      </c>
      <c r="B70" s="89" t="s">
        <v>392</v>
      </c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>
        <v>1</v>
      </c>
      <c r="N70" s="90"/>
      <c r="O70" s="90"/>
      <c r="P70" s="90"/>
      <c r="Q70" s="91">
        <v>1</v>
      </c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 x14ac:dyDescent="0.35">
      <c r="A71" s="97" t="s">
        <v>413</v>
      </c>
      <c r="B71" s="89" t="s">
        <v>392</v>
      </c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1">
        <v>1</v>
      </c>
      <c r="N71" s="90"/>
      <c r="O71" s="90"/>
      <c r="P71" s="90"/>
      <c r="Q71" s="91">
        <v>1</v>
      </c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 x14ac:dyDescent="0.35">
      <c r="A72" s="97" t="s">
        <v>414</v>
      </c>
      <c r="B72" s="89" t="s">
        <v>392</v>
      </c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1">
        <v>1</v>
      </c>
      <c r="N72" s="90"/>
      <c r="O72" s="90"/>
      <c r="P72" s="90"/>
      <c r="Q72" s="91">
        <v>1</v>
      </c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 x14ac:dyDescent="0.35">
      <c r="A73" s="89" t="s">
        <v>386</v>
      </c>
      <c r="B73" s="89" t="s">
        <v>392</v>
      </c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1">
        <v>5</v>
      </c>
      <c r="N73" s="90"/>
      <c r="O73" s="90"/>
      <c r="P73" s="90"/>
      <c r="Q73" s="91">
        <v>5</v>
      </c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 x14ac:dyDescent="0.35">
      <c r="A74" s="89" t="s">
        <v>25</v>
      </c>
      <c r="B74" s="89" t="s">
        <v>392</v>
      </c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1">
        <v>15966</v>
      </c>
      <c r="O74" s="90"/>
      <c r="P74" s="91">
        <v>4</v>
      </c>
      <c r="Q74" s="91">
        <v>15970</v>
      </c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 x14ac:dyDescent="0.35">
      <c r="A75" s="97" t="s">
        <v>415</v>
      </c>
      <c r="B75" s="89" t="s">
        <v>392</v>
      </c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1">
        <v>1</v>
      </c>
      <c r="O75" s="90"/>
      <c r="P75" s="90"/>
      <c r="Q75" s="91">
        <v>1</v>
      </c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 x14ac:dyDescent="0.35">
      <c r="A76" s="89" t="s">
        <v>31</v>
      </c>
      <c r="B76" s="89" t="s">
        <v>392</v>
      </c>
      <c r="C76" s="90"/>
      <c r="D76" s="90"/>
      <c r="E76" s="90"/>
      <c r="F76" s="90"/>
      <c r="G76" s="90"/>
      <c r="H76" s="90"/>
      <c r="I76" s="90"/>
      <c r="J76" s="90"/>
      <c r="K76" s="90"/>
      <c r="L76" s="91">
        <v>13184</v>
      </c>
      <c r="M76" s="90"/>
      <c r="N76" s="90"/>
      <c r="O76" s="90"/>
      <c r="P76" s="91">
        <v>1</v>
      </c>
      <c r="Q76" s="91">
        <v>13185</v>
      </c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 x14ac:dyDescent="0.35">
      <c r="A77" s="89" t="s">
        <v>416</v>
      </c>
      <c r="B77" s="89" t="s">
        <v>392</v>
      </c>
      <c r="C77" s="90"/>
      <c r="D77" s="90"/>
      <c r="E77" s="90"/>
      <c r="F77" s="90"/>
      <c r="G77" s="90"/>
      <c r="H77" s="90"/>
      <c r="I77" s="90"/>
      <c r="J77" s="90"/>
      <c r="K77" s="90"/>
      <c r="L77" s="91">
        <v>1</v>
      </c>
      <c r="M77" s="90"/>
      <c r="N77" s="90"/>
      <c r="O77" s="90"/>
      <c r="P77" s="90"/>
      <c r="Q77" s="91">
        <v>1</v>
      </c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 x14ac:dyDescent="0.35">
      <c r="A78" s="97" t="s">
        <v>417</v>
      </c>
      <c r="B78" s="89" t="s">
        <v>392</v>
      </c>
      <c r="C78" s="90"/>
      <c r="D78" s="90"/>
      <c r="E78" s="90"/>
      <c r="F78" s="90"/>
      <c r="G78" s="90"/>
      <c r="H78" s="90"/>
      <c r="I78" s="90"/>
      <c r="J78" s="90"/>
      <c r="K78" s="90"/>
      <c r="L78" s="91">
        <v>1</v>
      </c>
      <c r="M78" s="90"/>
      <c r="N78" s="90"/>
      <c r="O78" s="90"/>
      <c r="P78" s="90"/>
      <c r="Q78" s="91">
        <v>1</v>
      </c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 x14ac:dyDescent="0.35">
      <c r="A79" s="89" t="s">
        <v>418</v>
      </c>
      <c r="B79" s="89" t="s">
        <v>392</v>
      </c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1">
        <v>14</v>
      </c>
      <c r="Q79" s="91">
        <v>14</v>
      </c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 x14ac:dyDescent="0.35">
      <c r="A80" s="89" t="s">
        <v>419</v>
      </c>
      <c r="B80" s="89" t="s">
        <v>392</v>
      </c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1">
        <v>7</v>
      </c>
      <c r="N80" s="90"/>
      <c r="O80" s="90"/>
      <c r="P80" s="90"/>
      <c r="Q80" s="91">
        <v>7</v>
      </c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 x14ac:dyDescent="0.35">
      <c r="A81" s="89" t="s">
        <v>420</v>
      </c>
      <c r="B81" s="89" t="s">
        <v>392</v>
      </c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1">
        <v>1</v>
      </c>
      <c r="N81" s="90"/>
      <c r="O81" s="90"/>
      <c r="P81" s="90"/>
      <c r="Q81" s="91">
        <v>1</v>
      </c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 x14ac:dyDescent="0.35">
      <c r="A82" s="89" t="s">
        <v>421</v>
      </c>
      <c r="B82" s="89" t="s">
        <v>392</v>
      </c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1">
        <v>1</v>
      </c>
      <c r="O82" s="90"/>
      <c r="P82" s="90"/>
      <c r="Q82" s="91">
        <v>1</v>
      </c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 x14ac:dyDescent="0.35">
      <c r="A83" s="89" t="s">
        <v>422</v>
      </c>
      <c r="B83" s="89" t="s">
        <v>392</v>
      </c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1">
        <v>6</v>
      </c>
      <c r="Q83" s="91">
        <v>6</v>
      </c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 x14ac:dyDescent="0.35">
      <c r="A84" s="89" t="s">
        <v>423</v>
      </c>
      <c r="B84" s="89" t="s">
        <v>392</v>
      </c>
      <c r="C84" s="90"/>
      <c r="D84" s="90"/>
      <c r="E84" s="91">
        <v>71</v>
      </c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1">
        <v>71</v>
      </c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 x14ac:dyDescent="0.35">
      <c r="A85" s="89" t="s">
        <v>387</v>
      </c>
      <c r="B85" s="89" t="s">
        <v>392</v>
      </c>
      <c r="C85" s="90"/>
      <c r="D85" s="90"/>
      <c r="E85" s="90"/>
      <c r="F85" s="90"/>
      <c r="G85" s="91">
        <v>953</v>
      </c>
      <c r="H85" s="90"/>
      <c r="I85" s="90"/>
      <c r="J85" s="90"/>
      <c r="K85" s="90"/>
      <c r="L85" s="90"/>
      <c r="M85" s="90"/>
      <c r="N85" s="90"/>
      <c r="O85" s="90"/>
      <c r="P85" s="90"/>
      <c r="Q85" s="91">
        <v>953</v>
      </c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 x14ac:dyDescent="0.35">
      <c r="A86" s="89" t="s">
        <v>424</v>
      </c>
      <c r="B86" s="89" t="s">
        <v>392</v>
      </c>
      <c r="C86" s="90"/>
      <c r="D86" s="90"/>
      <c r="E86" s="90"/>
      <c r="F86" s="90"/>
      <c r="G86" s="91">
        <v>1</v>
      </c>
      <c r="H86" s="90"/>
      <c r="I86" s="90"/>
      <c r="J86" s="90"/>
      <c r="K86" s="90"/>
      <c r="L86" s="90"/>
      <c r="M86" s="90"/>
      <c r="N86" s="90"/>
      <c r="O86" s="90"/>
      <c r="P86" s="90"/>
      <c r="Q86" s="91">
        <v>1</v>
      </c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 x14ac:dyDescent="0.35">
      <c r="A87" s="89" t="s">
        <v>425</v>
      </c>
      <c r="B87" s="89" t="s">
        <v>392</v>
      </c>
      <c r="C87" s="90"/>
      <c r="D87" s="90"/>
      <c r="E87" s="90"/>
      <c r="F87" s="90"/>
      <c r="G87" s="91">
        <v>1</v>
      </c>
      <c r="H87" s="90"/>
      <c r="I87" s="90"/>
      <c r="J87" s="90"/>
      <c r="K87" s="90"/>
      <c r="L87" s="90"/>
      <c r="M87" s="90"/>
      <c r="N87" s="90"/>
      <c r="O87" s="90"/>
      <c r="P87" s="90"/>
      <c r="Q87" s="91">
        <v>1</v>
      </c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 x14ac:dyDescent="0.35">
      <c r="A88" s="89" t="s">
        <v>426</v>
      </c>
      <c r="B88" s="89" t="s">
        <v>392</v>
      </c>
      <c r="C88" s="90"/>
      <c r="D88" s="90"/>
      <c r="E88" s="90"/>
      <c r="F88" s="90"/>
      <c r="G88" s="91">
        <v>3</v>
      </c>
      <c r="H88" s="90"/>
      <c r="I88" s="90"/>
      <c r="J88" s="90"/>
      <c r="K88" s="90"/>
      <c r="L88" s="90"/>
      <c r="M88" s="90"/>
      <c r="N88" s="90"/>
      <c r="O88" s="90"/>
      <c r="P88" s="90"/>
      <c r="Q88" s="91">
        <v>3</v>
      </c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 x14ac:dyDescent="0.35">
      <c r="A89" s="89" t="s">
        <v>388</v>
      </c>
      <c r="B89" s="89" t="s">
        <v>392</v>
      </c>
      <c r="C89" s="90"/>
      <c r="D89" s="90"/>
      <c r="E89" s="90"/>
      <c r="F89" s="90"/>
      <c r="G89" s="90"/>
      <c r="H89" s="91">
        <v>2488</v>
      </c>
      <c r="I89" s="90"/>
      <c r="J89" s="90"/>
      <c r="K89" s="90"/>
      <c r="L89" s="90"/>
      <c r="M89" s="90"/>
      <c r="N89" s="90"/>
      <c r="O89" s="90"/>
      <c r="P89" s="90"/>
      <c r="Q89" s="91">
        <v>2488</v>
      </c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 x14ac:dyDescent="0.35">
      <c r="A90" s="89" t="s">
        <v>427</v>
      </c>
      <c r="B90" s="89" t="s">
        <v>392</v>
      </c>
      <c r="C90" s="90"/>
      <c r="D90" s="90"/>
      <c r="E90" s="90"/>
      <c r="F90" s="90"/>
      <c r="G90" s="90"/>
      <c r="H90" s="91">
        <v>2</v>
      </c>
      <c r="I90" s="90"/>
      <c r="J90" s="90"/>
      <c r="K90" s="90"/>
      <c r="L90" s="90"/>
      <c r="M90" s="90"/>
      <c r="N90" s="90"/>
      <c r="O90" s="90"/>
      <c r="P90" s="90"/>
      <c r="Q90" s="91">
        <v>2</v>
      </c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 x14ac:dyDescent="0.35">
      <c r="A91" s="89" t="s">
        <v>428</v>
      </c>
      <c r="B91" s="89" t="s">
        <v>392</v>
      </c>
      <c r="C91" s="90"/>
      <c r="D91" s="90"/>
      <c r="E91" s="90"/>
      <c r="F91" s="90"/>
      <c r="G91" s="90"/>
      <c r="H91" s="91">
        <v>1</v>
      </c>
      <c r="I91" s="90"/>
      <c r="J91" s="90"/>
      <c r="K91" s="90"/>
      <c r="L91" s="90"/>
      <c r="M91" s="90"/>
      <c r="N91" s="90"/>
      <c r="O91" s="90"/>
      <c r="P91" s="90"/>
      <c r="Q91" s="91">
        <v>1</v>
      </c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 x14ac:dyDescent="0.35">
      <c r="A92" s="89" t="s">
        <v>429</v>
      </c>
      <c r="B92" s="89" t="s">
        <v>392</v>
      </c>
      <c r="C92" s="90"/>
      <c r="D92" s="90"/>
      <c r="E92" s="90"/>
      <c r="F92" s="90"/>
      <c r="G92" s="90"/>
      <c r="H92" s="91">
        <v>2</v>
      </c>
      <c r="I92" s="90"/>
      <c r="J92" s="90"/>
      <c r="K92" s="90"/>
      <c r="L92" s="90"/>
      <c r="M92" s="90"/>
      <c r="N92" s="90"/>
      <c r="O92" s="90"/>
      <c r="P92" s="90"/>
      <c r="Q92" s="91">
        <v>2</v>
      </c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 x14ac:dyDescent="0.35">
      <c r="A93" s="89" t="s">
        <v>430</v>
      </c>
      <c r="B93" s="89" t="s">
        <v>392</v>
      </c>
      <c r="C93" s="90"/>
      <c r="D93" s="90"/>
      <c r="E93" s="90"/>
      <c r="F93" s="90"/>
      <c r="G93" s="90"/>
      <c r="H93" s="90"/>
      <c r="I93" s="90"/>
      <c r="J93" s="91">
        <v>6</v>
      </c>
      <c r="K93" s="90"/>
      <c r="L93" s="90"/>
      <c r="M93" s="90"/>
      <c r="N93" s="90"/>
      <c r="O93" s="90"/>
      <c r="P93" s="90"/>
      <c r="Q93" s="91">
        <v>6</v>
      </c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 x14ac:dyDescent="0.35">
      <c r="A94" s="89" t="s">
        <v>389</v>
      </c>
      <c r="B94" s="89" t="s">
        <v>392</v>
      </c>
      <c r="C94" s="90"/>
      <c r="D94" s="90"/>
      <c r="E94" s="90"/>
      <c r="F94" s="90"/>
      <c r="G94" s="90"/>
      <c r="H94" s="90"/>
      <c r="I94" s="90"/>
      <c r="J94" s="91">
        <v>6089</v>
      </c>
      <c r="K94" s="90"/>
      <c r="L94" s="90"/>
      <c r="M94" s="90"/>
      <c r="N94" s="90"/>
      <c r="O94" s="90"/>
      <c r="P94" s="91">
        <v>1</v>
      </c>
      <c r="Q94" s="91">
        <v>6090</v>
      </c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 x14ac:dyDescent="0.35">
      <c r="A95" s="89" t="s">
        <v>431</v>
      </c>
      <c r="B95" s="89" t="s">
        <v>392</v>
      </c>
      <c r="C95" s="90"/>
      <c r="D95" s="90"/>
      <c r="E95" s="90"/>
      <c r="F95" s="90"/>
      <c r="G95" s="90"/>
      <c r="H95" s="90"/>
      <c r="I95" s="90"/>
      <c r="J95" s="91">
        <v>1</v>
      </c>
      <c r="K95" s="90"/>
      <c r="L95" s="90"/>
      <c r="M95" s="90"/>
      <c r="N95" s="90"/>
      <c r="O95" s="90"/>
      <c r="P95" s="90"/>
      <c r="Q95" s="91">
        <v>1</v>
      </c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 x14ac:dyDescent="0.35">
      <c r="A96" s="97" t="s">
        <v>432</v>
      </c>
      <c r="B96" s="89" t="s">
        <v>392</v>
      </c>
      <c r="C96" s="90"/>
      <c r="D96" s="90"/>
      <c r="E96" s="90"/>
      <c r="F96" s="90"/>
      <c r="G96" s="90"/>
      <c r="H96" s="90"/>
      <c r="I96" s="90"/>
      <c r="J96" s="91">
        <v>1</v>
      </c>
      <c r="K96" s="90"/>
      <c r="L96" s="90"/>
      <c r="M96" s="90"/>
      <c r="N96" s="90"/>
      <c r="O96" s="90"/>
      <c r="P96" s="90"/>
      <c r="Q96" s="91">
        <v>1</v>
      </c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 x14ac:dyDescent="0.35">
      <c r="A97" s="89" t="s">
        <v>22</v>
      </c>
      <c r="B97" s="89" t="s">
        <v>392</v>
      </c>
      <c r="C97" s="90"/>
      <c r="D97" s="90"/>
      <c r="E97" s="90"/>
      <c r="F97" s="90"/>
      <c r="G97" s="90"/>
      <c r="H97" s="90"/>
      <c r="I97" s="90"/>
      <c r="J97" s="90"/>
      <c r="K97" s="91">
        <v>31</v>
      </c>
      <c r="L97" s="90"/>
      <c r="M97" s="90"/>
      <c r="N97" s="90"/>
      <c r="O97" s="90"/>
      <c r="P97" s="90"/>
      <c r="Q97" s="91">
        <v>31</v>
      </c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 x14ac:dyDescent="0.35">
      <c r="A98" s="89" t="s">
        <v>21</v>
      </c>
      <c r="B98" s="89" t="s">
        <v>392</v>
      </c>
      <c r="C98" s="90"/>
      <c r="D98" s="90"/>
      <c r="E98" s="90"/>
      <c r="F98" s="90"/>
      <c r="G98" s="90"/>
      <c r="H98" s="90"/>
      <c r="I98" s="90"/>
      <c r="J98" s="90"/>
      <c r="K98" s="91">
        <v>21864</v>
      </c>
      <c r="L98" s="90"/>
      <c r="M98" s="90"/>
      <c r="N98" s="90"/>
      <c r="O98" s="90"/>
      <c r="P98" s="91">
        <v>5</v>
      </c>
      <c r="Q98" s="91">
        <v>21869</v>
      </c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 x14ac:dyDescent="0.35">
      <c r="A99" s="97" t="s">
        <v>433</v>
      </c>
      <c r="B99" s="89" t="s">
        <v>392</v>
      </c>
      <c r="C99" s="90"/>
      <c r="D99" s="90"/>
      <c r="E99" s="90"/>
      <c r="F99" s="90"/>
      <c r="G99" s="90"/>
      <c r="H99" s="90"/>
      <c r="I99" s="90"/>
      <c r="J99" s="90"/>
      <c r="K99" s="91">
        <v>1</v>
      </c>
      <c r="L99" s="90"/>
      <c r="M99" s="90"/>
      <c r="N99" s="90"/>
      <c r="O99" s="90"/>
      <c r="P99" s="90"/>
      <c r="Q99" s="91">
        <v>1</v>
      </c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 x14ac:dyDescent="0.35">
      <c r="A100" s="89" t="s">
        <v>434</v>
      </c>
      <c r="B100" s="89" t="s">
        <v>392</v>
      </c>
      <c r="C100" s="90"/>
      <c r="D100" s="90"/>
      <c r="E100" s="90"/>
      <c r="F100" s="90"/>
      <c r="G100" s="90"/>
      <c r="H100" s="90"/>
      <c r="I100" s="90"/>
      <c r="J100" s="90"/>
      <c r="K100" s="91">
        <v>1</v>
      </c>
      <c r="L100" s="90"/>
      <c r="M100" s="90"/>
      <c r="N100" s="90"/>
      <c r="O100" s="90"/>
      <c r="P100" s="90"/>
      <c r="Q100" s="91">
        <v>1</v>
      </c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 x14ac:dyDescent="0.35">
      <c r="A101" s="97" t="s">
        <v>435</v>
      </c>
      <c r="B101" s="89" t="s">
        <v>392</v>
      </c>
      <c r="C101" s="90"/>
      <c r="D101" s="90"/>
      <c r="E101" s="90"/>
      <c r="F101" s="90"/>
      <c r="G101" s="90"/>
      <c r="H101" s="90"/>
      <c r="I101" s="90"/>
      <c r="J101" s="90"/>
      <c r="K101" s="91">
        <v>1</v>
      </c>
      <c r="L101" s="90"/>
      <c r="M101" s="90"/>
      <c r="N101" s="90"/>
      <c r="O101" s="90"/>
      <c r="P101" s="90"/>
      <c r="Q101" s="91">
        <v>1</v>
      </c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 x14ac:dyDescent="0.35">
      <c r="A102" s="89" t="s">
        <v>436</v>
      </c>
      <c r="B102" s="89" t="s">
        <v>392</v>
      </c>
      <c r="C102" s="90"/>
      <c r="D102" s="90"/>
      <c r="E102" s="90"/>
      <c r="F102" s="90"/>
      <c r="G102" s="90"/>
      <c r="H102" s="90"/>
      <c r="I102" s="90"/>
      <c r="J102" s="90"/>
      <c r="K102" s="91">
        <v>1</v>
      </c>
      <c r="L102" s="90"/>
      <c r="M102" s="90"/>
      <c r="N102" s="90"/>
      <c r="O102" s="90"/>
      <c r="P102" s="90"/>
      <c r="Q102" s="91">
        <v>1</v>
      </c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 x14ac:dyDescent="0.35">
      <c r="A103" s="97" t="s">
        <v>437</v>
      </c>
      <c r="B103" s="89" t="s">
        <v>392</v>
      </c>
      <c r="C103" s="90"/>
      <c r="D103" s="90"/>
      <c r="E103" s="90"/>
      <c r="F103" s="90"/>
      <c r="G103" s="90"/>
      <c r="H103" s="90"/>
      <c r="I103" s="90"/>
      <c r="J103" s="90"/>
      <c r="K103" s="91">
        <v>1</v>
      </c>
      <c r="L103" s="90"/>
      <c r="M103" s="90"/>
      <c r="N103" s="90"/>
      <c r="O103" s="90"/>
      <c r="P103" s="90"/>
      <c r="Q103" s="91">
        <v>1</v>
      </c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 x14ac:dyDescent="0.35">
      <c r="A104" s="89" t="s">
        <v>313</v>
      </c>
      <c r="B104" s="89" t="s">
        <v>392</v>
      </c>
      <c r="C104" s="90"/>
      <c r="D104" s="90"/>
      <c r="E104" s="90"/>
      <c r="F104" s="90"/>
      <c r="G104" s="90"/>
      <c r="H104" s="90"/>
      <c r="I104" s="90"/>
      <c r="J104" s="90"/>
      <c r="K104" s="90"/>
      <c r="L104" s="91">
        <v>5</v>
      </c>
      <c r="M104" s="90"/>
      <c r="N104" s="90"/>
      <c r="O104" s="90"/>
      <c r="P104" s="90"/>
      <c r="Q104" s="91">
        <v>5</v>
      </c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 x14ac:dyDescent="0.35">
      <c r="A105" s="89" t="s">
        <v>438</v>
      </c>
      <c r="B105" s="89" t="s">
        <v>392</v>
      </c>
      <c r="C105" s="90"/>
      <c r="D105" s="90"/>
      <c r="E105" s="90"/>
      <c r="F105" s="90"/>
      <c r="G105" s="90"/>
      <c r="H105" s="90"/>
      <c r="I105" s="90"/>
      <c r="J105" s="90"/>
      <c r="K105" s="90"/>
      <c r="L105" s="91">
        <v>1</v>
      </c>
      <c r="M105" s="90"/>
      <c r="N105" s="90"/>
      <c r="O105" s="90"/>
      <c r="P105" s="90"/>
      <c r="Q105" s="91">
        <v>1</v>
      </c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 x14ac:dyDescent="0.35">
      <c r="A106" s="92" t="s">
        <v>439</v>
      </c>
      <c r="B106" s="89" t="s">
        <v>392</v>
      </c>
      <c r="C106" s="93"/>
      <c r="D106" s="93"/>
      <c r="E106" s="93"/>
      <c r="F106" s="93"/>
      <c r="G106" s="93"/>
      <c r="H106" s="93"/>
      <c r="I106" s="93"/>
      <c r="J106" s="94">
        <v>1</v>
      </c>
      <c r="K106" s="93"/>
      <c r="L106" s="93"/>
      <c r="M106" s="93"/>
      <c r="N106" s="93"/>
      <c r="O106" s="93"/>
      <c r="P106" s="93"/>
      <c r="Q106" s="94">
        <v>1</v>
      </c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 x14ac:dyDescent="0.35">
      <c r="A107" s="82"/>
      <c r="B107" s="82" t="s">
        <v>440</v>
      </c>
      <c r="C107" s="82"/>
      <c r="D107" s="82"/>
      <c r="E107" s="95">
        <v>82</v>
      </c>
      <c r="F107" s="82"/>
      <c r="G107" s="95">
        <v>961</v>
      </c>
      <c r="H107" s="95">
        <v>2493</v>
      </c>
      <c r="I107" s="82"/>
      <c r="J107" s="95">
        <v>6099</v>
      </c>
      <c r="K107" s="95">
        <v>21904</v>
      </c>
      <c r="L107" s="95">
        <v>13192</v>
      </c>
      <c r="M107" s="95">
        <v>11717</v>
      </c>
      <c r="N107" s="95">
        <v>15969</v>
      </c>
      <c r="O107" s="95">
        <v>2862</v>
      </c>
      <c r="P107" s="95">
        <v>54</v>
      </c>
      <c r="Q107" s="95">
        <v>75333</v>
      </c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 x14ac:dyDescent="0.35">
      <c r="A108" s="89" t="s">
        <v>43</v>
      </c>
      <c r="B108" s="89" t="s">
        <v>441</v>
      </c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1">
        <v>230</v>
      </c>
      <c r="P108" s="90"/>
      <c r="Q108" s="91">
        <v>230</v>
      </c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 x14ac:dyDescent="0.35">
      <c r="A109" s="89" t="s">
        <v>442</v>
      </c>
      <c r="B109" s="89" t="s">
        <v>441</v>
      </c>
      <c r="C109" s="90"/>
      <c r="D109" s="90"/>
      <c r="E109" s="90"/>
      <c r="F109" s="90"/>
      <c r="G109" s="91">
        <v>7</v>
      </c>
      <c r="H109" s="90"/>
      <c r="I109" s="90"/>
      <c r="J109" s="90"/>
      <c r="K109" s="90"/>
      <c r="L109" s="90"/>
      <c r="M109" s="90"/>
      <c r="N109" s="90"/>
      <c r="O109" s="90"/>
      <c r="P109" s="90"/>
      <c r="Q109" s="91">
        <v>7</v>
      </c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 x14ac:dyDescent="0.35">
      <c r="A110" s="89" t="s">
        <v>443</v>
      </c>
      <c r="B110" s="89" t="s">
        <v>441</v>
      </c>
      <c r="C110" s="90"/>
      <c r="D110" s="90"/>
      <c r="E110" s="90"/>
      <c r="F110" s="90"/>
      <c r="G110" s="90"/>
      <c r="H110" s="91">
        <v>8</v>
      </c>
      <c r="I110" s="90"/>
      <c r="J110" s="90"/>
      <c r="K110" s="90"/>
      <c r="L110" s="90"/>
      <c r="M110" s="90"/>
      <c r="N110" s="90"/>
      <c r="O110" s="90"/>
      <c r="P110" s="90"/>
      <c r="Q110" s="91">
        <v>8</v>
      </c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 x14ac:dyDescent="0.35">
      <c r="A111" s="89" t="s">
        <v>48</v>
      </c>
      <c r="B111" s="89" t="s">
        <v>441</v>
      </c>
      <c r="C111" s="90"/>
      <c r="D111" s="90"/>
      <c r="E111" s="90"/>
      <c r="F111" s="90"/>
      <c r="G111" s="90"/>
      <c r="H111" s="90"/>
      <c r="I111" s="90"/>
      <c r="J111" s="91">
        <v>127</v>
      </c>
      <c r="K111" s="90"/>
      <c r="L111" s="90"/>
      <c r="M111" s="90"/>
      <c r="N111" s="90"/>
      <c r="O111" s="90"/>
      <c r="P111" s="90"/>
      <c r="Q111" s="91">
        <v>127</v>
      </c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 x14ac:dyDescent="0.35">
      <c r="A112" s="89" t="s">
        <v>35</v>
      </c>
      <c r="B112" s="89" t="s">
        <v>441</v>
      </c>
      <c r="C112" s="90"/>
      <c r="D112" s="90"/>
      <c r="E112" s="90"/>
      <c r="F112" s="90"/>
      <c r="G112" s="90"/>
      <c r="H112" s="90"/>
      <c r="I112" s="90"/>
      <c r="J112" s="90"/>
      <c r="K112" s="91">
        <v>559</v>
      </c>
      <c r="L112" s="90"/>
      <c r="M112" s="90"/>
      <c r="N112" s="90"/>
      <c r="O112" s="90"/>
      <c r="P112" s="90"/>
      <c r="Q112" s="91">
        <v>559</v>
      </c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 x14ac:dyDescent="0.35">
      <c r="A113" s="89" t="s">
        <v>444</v>
      </c>
      <c r="B113" s="89" t="s">
        <v>441</v>
      </c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1">
        <v>165</v>
      </c>
      <c r="N113" s="90"/>
      <c r="O113" s="90"/>
      <c r="P113" s="90"/>
      <c r="Q113" s="91">
        <v>165</v>
      </c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 x14ac:dyDescent="0.35">
      <c r="A114" s="89" t="s">
        <v>37</v>
      </c>
      <c r="B114" s="89" t="s">
        <v>441</v>
      </c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1">
        <v>498</v>
      </c>
      <c r="O114" s="90"/>
      <c r="P114" s="90"/>
      <c r="Q114" s="91">
        <v>498</v>
      </c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 x14ac:dyDescent="0.35">
      <c r="A115" s="92" t="s">
        <v>39</v>
      </c>
      <c r="B115" s="89" t="s">
        <v>441</v>
      </c>
      <c r="C115" s="93"/>
      <c r="D115" s="93"/>
      <c r="E115" s="93"/>
      <c r="F115" s="93"/>
      <c r="G115" s="93"/>
      <c r="H115" s="93"/>
      <c r="I115" s="93"/>
      <c r="J115" s="93"/>
      <c r="K115" s="93"/>
      <c r="L115" s="94">
        <v>305</v>
      </c>
      <c r="M115" s="93"/>
      <c r="N115" s="93"/>
      <c r="O115" s="93"/>
      <c r="P115" s="93"/>
      <c r="Q115" s="94">
        <v>305</v>
      </c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 x14ac:dyDescent="0.35">
      <c r="A116" s="82"/>
      <c r="B116" s="96" t="s">
        <v>445</v>
      </c>
      <c r="C116" s="82"/>
      <c r="D116" s="82"/>
      <c r="E116" s="82"/>
      <c r="F116" s="82"/>
      <c r="G116" s="95">
        <v>7</v>
      </c>
      <c r="H116" s="95">
        <v>8</v>
      </c>
      <c r="I116" s="82"/>
      <c r="J116" s="95">
        <v>127</v>
      </c>
      <c r="K116" s="95">
        <v>559</v>
      </c>
      <c r="L116" s="95">
        <v>305</v>
      </c>
      <c r="M116" s="95">
        <v>165</v>
      </c>
      <c r="N116" s="95">
        <v>498</v>
      </c>
      <c r="O116" s="95">
        <v>230</v>
      </c>
      <c r="P116" s="82"/>
      <c r="Q116" s="95">
        <v>1899</v>
      </c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 x14ac:dyDescent="0.35">
      <c r="A117" s="89" t="s">
        <v>446</v>
      </c>
      <c r="B117" s="89" t="s">
        <v>447</v>
      </c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1">
        <v>1</v>
      </c>
      <c r="Q117" s="91">
        <v>1</v>
      </c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 x14ac:dyDescent="0.35">
      <c r="A118" s="89" t="s">
        <v>448</v>
      </c>
      <c r="B118" s="89" t="s">
        <v>447</v>
      </c>
      <c r="C118" s="91">
        <v>1</v>
      </c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1">
        <v>1</v>
      </c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 x14ac:dyDescent="0.35">
      <c r="A119" s="89" t="s">
        <v>449</v>
      </c>
      <c r="B119" s="89" t="s">
        <v>447</v>
      </c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1">
        <v>2</v>
      </c>
      <c r="P119" s="90"/>
      <c r="Q119" s="91">
        <v>2</v>
      </c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 x14ac:dyDescent="0.35">
      <c r="A120" s="89" t="s">
        <v>43</v>
      </c>
      <c r="B120" s="89" t="s">
        <v>447</v>
      </c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1">
        <v>799</v>
      </c>
      <c r="P120" s="90"/>
      <c r="Q120" s="91">
        <v>799</v>
      </c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 x14ac:dyDescent="0.35">
      <c r="A121" s="89" t="s">
        <v>450</v>
      </c>
      <c r="B121" s="89" t="s">
        <v>447</v>
      </c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1">
        <v>1</v>
      </c>
      <c r="N121" s="90"/>
      <c r="O121" s="90"/>
      <c r="P121" s="90"/>
      <c r="Q121" s="91">
        <v>1</v>
      </c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 x14ac:dyDescent="0.35">
      <c r="A122" s="89" t="s">
        <v>442</v>
      </c>
      <c r="B122" s="89" t="s">
        <v>447</v>
      </c>
      <c r="C122" s="90"/>
      <c r="D122" s="90"/>
      <c r="E122" s="90"/>
      <c r="F122" s="90"/>
      <c r="G122" s="91">
        <v>91</v>
      </c>
      <c r="H122" s="90"/>
      <c r="I122" s="90"/>
      <c r="J122" s="90"/>
      <c r="K122" s="90"/>
      <c r="L122" s="90"/>
      <c r="M122" s="90"/>
      <c r="N122" s="90"/>
      <c r="O122" s="90"/>
      <c r="P122" s="90"/>
      <c r="Q122" s="91">
        <v>91</v>
      </c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 x14ac:dyDescent="0.35">
      <c r="A123" s="89" t="s">
        <v>443</v>
      </c>
      <c r="B123" s="89" t="s">
        <v>447</v>
      </c>
      <c r="C123" s="90"/>
      <c r="D123" s="90"/>
      <c r="E123" s="90"/>
      <c r="F123" s="90"/>
      <c r="G123" s="90"/>
      <c r="H123" s="91">
        <v>91</v>
      </c>
      <c r="I123" s="90"/>
      <c r="J123" s="90"/>
      <c r="K123" s="90"/>
      <c r="L123" s="90"/>
      <c r="M123" s="90"/>
      <c r="N123" s="90"/>
      <c r="O123" s="90"/>
      <c r="P123" s="90"/>
      <c r="Q123" s="91">
        <v>91</v>
      </c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 x14ac:dyDescent="0.35">
      <c r="A124" s="89" t="s">
        <v>48</v>
      </c>
      <c r="B124" s="89" t="s">
        <v>447</v>
      </c>
      <c r="C124" s="90"/>
      <c r="D124" s="90"/>
      <c r="E124" s="90"/>
      <c r="F124" s="90"/>
      <c r="G124" s="90"/>
      <c r="H124" s="90"/>
      <c r="I124" s="90"/>
      <c r="J124" s="91">
        <v>989</v>
      </c>
      <c r="K124" s="90"/>
      <c r="L124" s="90"/>
      <c r="M124" s="90"/>
      <c r="N124" s="90"/>
      <c r="O124" s="90"/>
      <c r="P124" s="90"/>
      <c r="Q124" s="91">
        <v>989</v>
      </c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 x14ac:dyDescent="0.35">
      <c r="A125" s="89" t="s">
        <v>36</v>
      </c>
      <c r="B125" s="89" t="s">
        <v>447</v>
      </c>
      <c r="C125" s="90"/>
      <c r="D125" s="90"/>
      <c r="E125" s="90"/>
      <c r="F125" s="90"/>
      <c r="G125" s="90"/>
      <c r="H125" s="90"/>
      <c r="I125" s="90"/>
      <c r="J125" s="90"/>
      <c r="K125" s="91">
        <v>2</v>
      </c>
      <c r="L125" s="90"/>
      <c r="M125" s="90"/>
      <c r="N125" s="90"/>
      <c r="O125" s="90"/>
      <c r="P125" s="90"/>
      <c r="Q125" s="91">
        <v>2</v>
      </c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 x14ac:dyDescent="0.35">
      <c r="A126" s="89" t="s">
        <v>35</v>
      </c>
      <c r="B126" s="89" t="s">
        <v>447</v>
      </c>
      <c r="C126" s="90"/>
      <c r="D126" s="90"/>
      <c r="E126" s="90"/>
      <c r="F126" s="90"/>
      <c r="G126" s="90"/>
      <c r="H126" s="90"/>
      <c r="I126" s="90"/>
      <c r="J126" s="90"/>
      <c r="K126" s="91">
        <v>3014</v>
      </c>
      <c r="L126" s="90"/>
      <c r="M126" s="90"/>
      <c r="N126" s="90"/>
      <c r="O126" s="90"/>
      <c r="P126" s="90"/>
      <c r="Q126" s="91">
        <v>3014</v>
      </c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 x14ac:dyDescent="0.35">
      <c r="A127" s="89" t="s">
        <v>444</v>
      </c>
      <c r="B127" s="89" t="s">
        <v>447</v>
      </c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1">
        <v>898</v>
      </c>
      <c r="N127" s="90"/>
      <c r="O127" s="90"/>
      <c r="P127" s="91">
        <v>1</v>
      </c>
      <c r="Q127" s="91">
        <v>899</v>
      </c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 x14ac:dyDescent="0.35">
      <c r="A128" s="89" t="s">
        <v>37</v>
      </c>
      <c r="B128" s="89" t="s">
        <v>447</v>
      </c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1">
        <v>2569</v>
      </c>
      <c r="O128" s="90"/>
      <c r="P128" s="90"/>
      <c r="Q128" s="91">
        <v>2569</v>
      </c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 x14ac:dyDescent="0.35">
      <c r="A129" s="89" t="s">
        <v>39</v>
      </c>
      <c r="B129" s="89" t="s">
        <v>447</v>
      </c>
      <c r="C129" s="90"/>
      <c r="D129" s="90"/>
      <c r="E129" s="90"/>
      <c r="F129" s="90"/>
      <c r="G129" s="90"/>
      <c r="H129" s="90"/>
      <c r="I129" s="90"/>
      <c r="J129" s="90"/>
      <c r="K129" s="90"/>
      <c r="L129" s="91">
        <v>2211</v>
      </c>
      <c r="M129" s="90"/>
      <c r="N129" s="90"/>
      <c r="O129" s="90"/>
      <c r="P129" s="90"/>
      <c r="Q129" s="91">
        <v>2211</v>
      </c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 x14ac:dyDescent="0.35">
      <c r="A130" s="92" t="s">
        <v>451</v>
      </c>
      <c r="B130" s="89" t="s">
        <v>447</v>
      </c>
      <c r="C130" s="93"/>
      <c r="D130" s="93"/>
      <c r="E130" s="93"/>
      <c r="F130" s="93"/>
      <c r="G130" s="93"/>
      <c r="H130" s="93"/>
      <c r="I130" s="93"/>
      <c r="J130" s="93"/>
      <c r="K130" s="94">
        <v>2</v>
      </c>
      <c r="L130" s="93"/>
      <c r="M130" s="93"/>
      <c r="N130" s="93"/>
      <c r="O130" s="93"/>
      <c r="P130" s="93"/>
      <c r="Q130" s="94">
        <v>2</v>
      </c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 x14ac:dyDescent="0.35">
      <c r="A131" s="82"/>
      <c r="B131" s="82" t="s">
        <v>452</v>
      </c>
      <c r="C131" s="95">
        <v>1</v>
      </c>
      <c r="D131" s="82"/>
      <c r="E131" s="82"/>
      <c r="F131" s="82"/>
      <c r="G131" s="95">
        <v>91</v>
      </c>
      <c r="H131" s="95">
        <v>91</v>
      </c>
      <c r="I131" s="82"/>
      <c r="J131" s="95">
        <v>989</v>
      </c>
      <c r="K131" s="95">
        <v>3018</v>
      </c>
      <c r="L131" s="95">
        <v>2211</v>
      </c>
      <c r="M131" s="95">
        <v>899</v>
      </c>
      <c r="N131" s="95">
        <v>2569</v>
      </c>
      <c r="O131" s="95">
        <v>801</v>
      </c>
      <c r="P131" s="95">
        <v>2</v>
      </c>
      <c r="Q131" s="95">
        <v>10672</v>
      </c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.25" customHeight="1" x14ac:dyDescent="0.35">
      <c r="A132" s="89" t="s">
        <v>453</v>
      </c>
      <c r="B132" s="89" t="s">
        <v>454</v>
      </c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1">
        <v>146</v>
      </c>
      <c r="N132" s="90"/>
      <c r="O132" s="90"/>
      <c r="P132" s="90"/>
      <c r="Q132" s="91">
        <v>146</v>
      </c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.25" customHeight="1" x14ac:dyDescent="0.35">
      <c r="A133" s="97" t="s">
        <v>455</v>
      </c>
      <c r="B133" s="89" t="s">
        <v>454</v>
      </c>
      <c r="C133" s="90"/>
      <c r="D133" s="90"/>
      <c r="E133" s="90"/>
      <c r="F133" s="90"/>
      <c r="G133" s="90"/>
      <c r="H133" s="90"/>
      <c r="I133" s="90"/>
      <c r="J133" s="90"/>
      <c r="K133" s="90"/>
      <c r="L133" s="91">
        <v>1</v>
      </c>
      <c r="M133" s="90"/>
      <c r="N133" s="90"/>
      <c r="O133" s="90"/>
      <c r="P133" s="90"/>
      <c r="Q133" s="91">
        <v>1</v>
      </c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.25" customHeight="1" x14ac:dyDescent="0.35">
      <c r="A134" s="89" t="s">
        <v>52</v>
      </c>
      <c r="B134" s="89" t="s">
        <v>454</v>
      </c>
      <c r="C134" s="90"/>
      <c r="D134" s="90"/>
      <c r="E134" s="90"/>
      <c r="F134" s="90"/>
      <c r="G134" s="90"/>
      <c r="H134" s="90"/>
      <c r="I134" s="90"/>
      <c r="J134" s="91">
        <v>460</v>
      </c>
      <c r="K134" s="90"/>
      <c r="L134" s="90"/>
      <c r="M134" s="90"/>
      <c r="N134" s="90"/>
      <c r="O134" s="90"/>
      <c r="P134" s="90"/>
      <c r="Q134" s="91">
        <v>460</v>
      </c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.25" customHeight="1" x14ac:dyDescent="0.35">
      <c r="A135" s="89" t="s">
        <v>456</v>
      </c>
      <c r="B135" s="89" t="s">
        <v>454</v>
      </c>
      <c r="C135" s="90"/>
      <c r="D135" s="90"/>
      <c r="E135" s="90"/>
      <c r="F135" s="90"/>
      <c r="G135" s="90"/>
      <c r="H135" s="90"/>
      <c r="I135" s="90"/>
      <c r="J135" s="90"/>
      <c r="K135" s="90"/>
      <c r="L135" s="91">
        <v>80</v>
      </c>
      <c r="M135" s="90"/>
      <c r="N135" s="90"/>
      <c r="O135" s="90"/>
      <c r="P135" s="90"/>
      <c r="Q135" s="91">
        <v>80</v>
      </c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.25" customHeight="1" x14ac:dyDescent="0.35">
      <c r="A136" s="89" t="s">
        <v>51</v>
      </c>
      <c r="B136" s="89" t="s">
        <v>454</v>
      </c>
      <c r="C136" s="90"/>
      <c r="D136" s="90"/>
      <c r="E136" s="90"/>
      <c r="F136" s="90"/>
      <c r="G136" s="90"/>
      <c r="H136" s="90"/>
      <c r="I136" s="90"/>
      <c r="J136" s="90"/>
      <c r="K136" s="91">
        <v>14</v>
      </c>
      <c r="L136" s="90"/>
      <c r="M136" s="90"/>
      <c r="N136" s="90"/>
      <c r="O136" s="90"/>
      <c r="P136" s="90"/>
      <c r="Q136" s="91">
        <v>14</v>
      </c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.25" customHeight="1" x14ac:dyDescent="0.35">
      <c r="A137" s="89" t="s">
        <v>50</v>
      </c>
      <c r="B137" s="89" t="s">
        <v>454</v>
      </c>
      <c r="C137" s="90"/>
      <c r="D137" s="90"/>
      <c r="E137" s="90"/>
      <c r="F137" s="90"/>
      <c r="G137" s="90"/>
      <c r="H137" s="90"/>
      <c r="I137" s="90"/>
      <c r="J137" s="90"/>
      <c r="K137" s="91">
        <v>569</v>
      </c>
      <c r="L137" s="90"/>
      <c r="M137" s="90"/>
      <c r="N137" s="90"/>
      <c r="O137" s="90"/>
      <c r="P137" s="90"/>
      <c r="Q137" s="91">
        <v>569</v>
      </c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.25" customHeight="1" x14ac:dyDescent="0.35">
      <c r="A138" s="89" t="s">
        <v>457</v>
      </c>
      <c r="B138" s="89" t="s">
        <v>454</v>
      </c>
      <c r="C138" s="90"/>
      <c r="D138" s="90"/>
      <c r="E138" s="90"/>
      <c r="F138" s="90"/>
      <c r="G138" s="90"/>
      <c r="H138" s="90"/>
      <c r="I138" s="90"/>
      <c r="J138" s="90"/>
      <c r="K138" s="91">
        <v>1</v>
      </c>
      <c r="L138" s="90"/>
      <c r="M138" s="90"/>
      <c r="N138" s="90"/>
      <c r="O138" s="90"/>
      <c r="P138" s="90"/>
      <c r="Q138" s="91">
        <v>1</v>
      </c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.25" customHeight="1" x14ac:dyDescent="0.35">
      <c r="A139" s="89" t="s">
        <v>458</v>
      </c>
      <c r="B139" s="89" t="s">
        <v>454</v>
      </c>
      <c r="C139" s="90"/>
      <c r="D139" s="90"/>
      <c r="E139" s="90"/>
      <c r="F139" s="90"/>
      <c r="G139" s="90"/>
      <c r="H139" s="90"/>
      <c r="I139" s="90"/>
      <c r="J139" s="90"/>
      <c r="K139" s="90"/>
      <c r="L139" s="91">
        <v>1</v>
      </c>
      <c r="M139" s="90"/>
      <c r="N139" s="90"/>
      <c r="O139" s="90"/>
      <c r="P139" s="90"/>
      <c r="Q139" s="91">
        <v>1</v>
      </c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.25" customHeight="1" x14ac:dyDescent="0.35">
      <c r="A140" s="97" t="s">
        <v>459</v>
      </c>
      <c r="B140" s="89" t="s">
        <v>454</v>
      </c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1">
        <v>30</v>
      </c>
      <c r="N140" s="90"/>
      <c r="O140" s="90"/>
      <c r="P140" s="90"/>
      <c r="Q140" s="91">
        <v>30</v>
      </c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.25" customHeight="1" x14ac:dyDescent="0.35">
      <c r="A141" s="97" t="s">
        <v>460</v>
      </c>
      <c r="B141" s="89" t="s">
        <v>454</v>
      </c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1">
        <v>3</v>
      </c>
      <c r="O141" s="90"/>
      <c r="P141" s="90"/>
      <c r="Q141" s="91">
        <v>3</v>
      </c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 x14ac:dyDescent="0.35">
      <c r="A142" s="97" t="s">
        <v>461</v>
      </c>
      <c r="B142" s="89" t="s">
        <v>454</v>
      </c>
      <c r="C142" s="90"/>
      <c r="D142" s="90"/>
      <c r="E142" s="90"/>
      <c r="F142" s="90"/>
      <c r="G142" s="90"/>
      <c r="H142" s="90"/>
      <c r="I142" s="90"/>
      <c r="J142" s="90"/>
      <c r="K142" s="90"/>
      <c r="L142" s="91">
        <v>1</v>
      </c>
      <c r="M142" s="90"/>
      <c r="N142" s="90"/>
      <c r="O142" s="90"/>
      <c r="P142" s="90"/>
      <c r="Q142" s="91">
        <v>1</v>
      </c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.25" customHeight="1" x14ac:dyDescent="0.35">
      <c r="A143" s="89" t="s">
        <v>462</v>
      </c>
      <c r="B143" s="89" t="s">
        <v>454</v>
      </c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1">
        <v>1</v>
      </c>
      <c r="N143" s="90"/>
      <c r="O143" s="90"/>
      <c r="P143" s="90"/>
      <c r="Q143" s="91">
        <v>1</v>
      </c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.25" customHeight="1" x14ac:dyDescent="0.35">
      <c r="A144" s="89" t="s">
        <v>463</v>
      </c>
      <c r="B144" s="89" t="s">
        <v>454</v>
      </c>
      <c r="C144" s="90"/>
      <c r="D144" s="90"/>
      <c r="E144" s="91">
        <v>7</v>
      </c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1">
        <v>7</v>
      </c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.25" customHeight="1" x14ac:dyDescent="0.35">
      <c r="A145" s="89" t="s">
        <v>464</v>
      </c>
      <c r="B145" s="89" t="s">
        <v>454</v>
      </c>
      <c r="C145" s="90"/>
      <c r="D145" s="90"/>
      <c r="E145" s="90"/>
      <c r="F145" s="90"/>
      <c r="G145" s="90"/>
      <c r="H145" s="90"/>
      <c r="I145" s="90"/>
      <c r="J145" s="90"/>
      <c r="K145" s="91">
        <v>2</v>
      </c>
      <c r="L145" s="90"/>
      <c r="M145" s="90"/>
      <c r="N145" s="90"/>
      <c r="O145" s="90"/>
      <c r="P145" s="90"/>
      <c r="Q145" s="91">
        <v>2</v>
      </c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.25" customHeight="1" x14ac:dyDescent="0.35">
      <c r="A146" s="92" t="s">
        <v>53</v>
      </c>
      <c r="B146" s="89" t="s">
        <v>454</v>
      </c>
      <c r="C146" s="93"/>
      <c r="D146" s="93"/>
      <c r="E146" s="93"/>
      <c r="F146" s="93"/>
      <c r="G146" s="93"/>
      <c r="H146" s="93"/>
      <c r="I146" s="93"/>
      <c r="J146" s="93"/>
      <c r="K146" s="94">
        <v>220</v>
      </c>
      <c r="L146" s="93"/>
      <c r="M146" s="93"/>
      <c r="N146" s="93"/>
      <c r="O146" s="93"/>
      <c r="P146" s="93"/>
      <c r="Q146" s="94">
        <v>220</v>
      </c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.25" customHeight="1" x14ac:dyDescent="0.35">
      <c r="A147" s="82"/>
      <c r="B147" s="96" t="s">
        <v>465</v>
      </c>
      <c r="C147" s="82"/>
      <c r="D147" s="82"/>
      <c r="E147" s="95">
        <v>7</v>
      </c>
      <c r="F147" s="82"/>
      <c r="G147" s="82"/>
      <c r="H147" s="82"/>
      <c r="I147" s="82"/>
      <c r="J147" s="95">
        <v>460</v>
      </c>
      <c r="K147" s="95">
        <v>806</v>
      </c>
      <c r="L147" s="95">
        <v>83</v>
      </c>
      <c r="M147" s="95">
        <v>177</v>
      </c>
      <c r="N147" s="95">
        <v>3</v>
      </c>
      <c r="O147" s="82"/>
      <c r="P147" s="82"/>
      <c r="Q147" s="95">
        <v>1536</v>
      </c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.25" customHeight="1" x14ac:dyDescent="0.35">
      <c r="A148" s="89" t="s">
        <v>466</v>
      </c>
      <c r="B148" s="89" t="s">
        <v>467</v>
      </c>
      <c r="C148" s="90"/>
      <c r="D148" s="90"/>
      <c r="E148" s="90"/>
      <c r="F148" s="90"/>
      <c r="G148" s="90"/>
      <c r="H148" s="90"/>
      <c r="I148" s="90"/>
      <c r="J148" s="90"/>
      <c r="K148" s="91">
        <v>1</v>
      </c>
      <c r="L148" s="90"/>
      <c r="M148" s="90"/>
      <c r="N148" s="90"/>
      <c r="O148" s="90"/>
      <c r="P148" s="90"/>
      <c r="Q148" s="91">
        <v>1</v>
      </c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.25" customHeight="1" x14ac:dyDescent="0.35">
      <c r="A149" s="89" t="s">
        <v>468</v>
      </c>
      <c r="B149" s="89" t="s">
        <v>467</v>
      </c>
      <c r="C149" s="90"/>
      <c r="D149" s="90"/>
      <c r="E149" s="90"/>
      <c r="F149" s="90"/>
      <c r="G149" s="90"/>
      <c r="H149" s="91">
        <v>1</v>
      </c>
      <c r="I149" s="90"/>
      <c r="J149" s="90"/>
      <c r="K149" s="90"/>
      <c r="L149" s="90"/>
      <c r="M149" s="90"/>
      <c r="N149" s="90"/>
      <c r="O149" s="90"/>
      <c r="P149" s="90"/>
      <c r="Q149" s="91">
        <v>1</v>
      </c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.25" customHeight="1" x14ac:dyDescent="0.35">
      <c r="A150" s="89" t="s">
        <v>469</v>
      </c>
      <c r="B150" s="89" t="s">
        <v>467</v>
      </c>
      <c r="C150" s="90"/>
      <c r="D150" s="90"/>
      <c r="E150" s="91">
        <v>3</v>
      </c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1">
        <v>3</v>
      </c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 x14ac:dyDescent="0.35">
      <c r="A151" s="89" t="s">
        <v>470</v>
      </c>
      <c r="B151" s="89" t="s">
        <v>467</v>
      </c>
      <c r="C151" s="90"/>
      <c r="D151" s="90"/>
      <c r="E151" s="90"/>
      <c r="F151" s="91">
        <v>10</v>
      </c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1">
        <v>10</v>
      </c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 x14ac:dyDescent="0.35">
      <c r="A152" s="89" t="s">
        <v>471</v>
      </c>
      <c r="B152" s="89" t="s">
        <v>467</v>
      </c>
      <c r="C152" s="90"/>
      <c r="D152" s="90"/>
      <c r="E152" s="90"/>
      <c r="F152" s="90"/>
      <c r="G152" s="91">
        <v>48</v>
      </c>
      <c r="H152" s="90"/>
      <c r="I152" s="90"/>
      <c r="J152" s="90"/>
      <c r="K152" s="90"/>
      <c r="L152" s="90"/>
      <c r="M152" s="90"/>
      <c r="N152" s="90"/>
      <c r="O152" s="90"/>
      <c r="P152" s="90"/>
      <c r="Q152" s="91">
        <v>48</v>
      </c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 x14ac:dyDescent="0.35">
      <c r="A153" s="89" t="s">
        <v>472</v>
      </c>
      <c r="B153" s="89" t="s">
        <v>467</v>
      </c>
      <c r="C153" s="90"/>
      <c r="D153" s="90"/>
      <c r="E153" s="90"/>
      <c r="F153" s="90"/>
      <c r="G153" s="90"/>
      <c r="H153" s="91">
        <v>54</v>
      </c>
      <c r="I153" s="90"/>
      <c r="J153" s="90"/>
      <c r="K153" s="90"/>
      <c r="L153" s="90"/>
      <c r="M153" s="90"/>
      <c r="N153" s="90"/>
      <c r="O153" s="90"/>
      <c r="P153" s="90"/>
      <c r="Q153" s="91">
        <v>54</v>
      </c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 x14ac:dyDescent="0.35">
      <c r="A154" s="89" t="s">
        <v>473</v>
      </c>
      <c r="B154" s="89" t="s">
        <v>467</v>
      </c>
      <c r="C154" s="90"/>
      <c r="D154" s="90"/>
      <c r="E154" s="90"/>
      <c r="F154" s="91">
        <v>4</v>
      </c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1">
        <v>4</v>
      </c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 x14ac:dyDescent="0.35">
      <c r="A155" s="89" t="s">
        <v>474</v>
      </c>
      <c r="B155" s="89" t="s">
        <v>467</v>
      </c>
      <c r="C155" s="90"/>
      <c r="D155" s="90"/>
      <c r="E155" s="90"/>
      <c r="F155" s="90"/>
      <c r="G155" s="90"/>
      <c r="H155" s="91">
        <v>2</v>
      </c>
      <c r="I155" s="90"/>
      <c r="J155" s="90"/>
      <c r="K155" s="90"/>
      <c r="L155" s="90"/>
      <c r="M155" s="90"/>
      <c r="N155" s="90"/>
      <c r="O155" s="90"/>
      <c r="P155" s="90"/>
      <c r="Q155" s="91">
        <v>2</v>
      </c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 x14ac:dyDescent="0.35">
      <c r="A156" s="89" t="s">
        <v>475</v>
      </c>
      <c r="B156" s="89" t="s">
        <v>467</v>
      </c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1">
        <v>42</v>
      </c>
      <c r="P156" s="90"/>
      <c r="Q156" s="91">
        <v>42</v>
      </c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 x14ac:dyDescent="0.35">
      <c r="A157" s="89" t="s">
        <v>476</v>
      </c>
      <c r="B157" s="89" t="s">
        <v>467</v>
      </c>
      <c r="C157" s="90"/>
      <c r="D157" s="90"/>
      <c r="E157" s="90"/>
      <c r="F157" s="90"/>
      <c r="G157" s="90"/>
      <c r="H157" s="90"/>
      <c r="I157" s="90"/>
      <c r="J157" s="91">
        <v>1</v>
      </c>
      <c r="K157" s="90"/>
      <c r="L157" s="90"/>
      <c r="M157" s="90"/>
      <c r="N157" s="90"/>
      <c r="O157" s="90"/>
      <c r="P157" s="90"/>
      <c r="Q157" s="91">
        <v>1</v>
      </c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 x14ac:dyDescent="0.35">
      <c r="A158" s="89" t="s">
        <v>477</v>
      </c>
      <c r="B158" s="89" t="s">
        <v>467</v>
      </c>
      <c r="C158" s="90"/>
      <c r="D158" s="90"/>
      <c r="E158" s="90"/>
      <c r="F158" s="90"/>
      <c r="G158" s="90"/>
      <c r="H158" s="90"/>
      <c r="I158" s="90"/>
      <c r="J158" s="91">
        <v>9</v>
      </c>
      <c r="K158" s="90"/>
      <c r="L158" s="90"/>
      <c r="M158" s="90"/>
      <c r="N158" s="90"/>
      <c r="O158" s="90"/>
      <c r="P158" s="90"/>
      <c r="Q158" s="91">
        <v>9</v>
      </c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 x14ac:dyDescent="0.35">
      <c r="A159" s="89" t="s">
        <v>466</v>
      </c>
      <c r="B159" s="89" t="s">
        <v>467</v>
      </c>
      <c r="C159" s="90"/>
      <c r="D159" s="90"/>
      <c r="E159" s="90"/>
      <c r="F159" s="90"/>
      <c r="G159" s="90"/>
      <c r="H159" s="90"/>
      <c r="I159" s="90"/>
      <c r="J159" s="90"/>
      <c r="K159" s="91">
        <v>3</v>
      </c>
      <c r="L159" s="90"/>
      <c r="M159" s="90"/>
      <c r="N159" s="90"/>
      <c r="O159" s="90"/>
      <c r="P159" s="90"/>
      <c r="Q159" s="91">
        <v>3</v>
      </c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 x14ac:dyDescent="0.35">
      <c r="A160" s="89" t="s">
        <v>63</v>
      </c>
      <c r="B160" s="89" t="s">
        <v>467</v>
      </c>
      <c r="C160" s="90"/>
      <c r="D160" s="90"/>
      <c r="E160" s="90"/>
      <c r="F160" s="90"/>
      <c r="G160" s="90"/>
      <c r="H160" s="90"/>
      <c r="I160" s="90"/>
      <c r="J160" s="90"/>
      <c r="K160" s="91">
        <v>5</v>
      </c>
      <c r="L160" s="90"/>
      <c r="M160" s="90"/>
      <c r="N160" s="90"/>
      <c r="O160" s="90"/>
      <c r="P160" s="90"/>
      <c r="Q160" s="91">
        <v>5</v>
      </c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 x14ac:dyDescent="0.35">
      <c r="A161" s="97" t="s">
        <v>478</v>
      </c>
      <c r="B161" s="89" t="s">
        <v>467</v>
      </c>
      <c r="C161" s="90"/>
      <c r="D161" s="90"/>
      <c r="E161" s="90"/>
      <c r="F161" s="90"/>
      <c r="G161" s="90"/>
      <c r="H161" s="90"/>
      <c r="I161" s="90"/>
      <c r="J161" s="90"/>
      <c r="K161" s="91">
        <v>4</v>
      </c>
      <c r="L161" s="90"/>
      <c r="M161" s="90"/>
      <c r="N161" s="90"/>
      <c r="O161" s="90"/>
      <c r="P161" s="90"/>
      <c r="Q161" s="91">
        <v>4</v>
      </c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 x14ac:dyDescent="0.35">
      <c r="A162" s="89" t="s">
        <v>479</v>
      </c>
      <c r="B162" s="89" t="s">
        <v>467</v>
      </c>
      <c r="C162" s="90"/>
      <c r="D162" s="90"/>
      <c r="E162" s="90"/>
      <c r="F162" s="90"/>
      <c r="G162" s="90"/>
      <c r="H162" s="90"/>
      <c r="I162" s="90"/>
      <c r="J162" s="90"/>
      <c r="K162" s="91">
        <v>2</v>
      </c>
      <c r="L162" s="90"/>
      <c r="M162" s="90"/>
      <c r="N162" s="90"/>
      <c r="O162" s="90"/>
      <c r="P162" s="90"/>
      <c r="Q162" s="91">
        <v>2</v>
      </c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.25" customHeight="1" x14ac:dyDescent="0.35">
      <c r="A163" s="97" t="s">
        <v>480</v>
      </c>
      <c r="B163" s="89" t="s">
        <v>467</v>
      </c>
      <c r="C163" s="90"/>
      <c r="D163" s="90"/>
      <c r="E163" s="90"/>
      <c r="F163" s="90"/>
      <c r="G163" s="90"/>
      <c r="H163" s="90"/>
      <c r="I163" s="90"/>
      <c r="J163" s="90"/>
      <c r="K163" s="91">
        <v>3</v>
      </c>
      <c r="L163" s="90"/>
      <c r="M163" s="90"/>
      <c r="N163" s="90"/>
      <c r="O163" s="90"/>
      <c r="P163" s="90"/>
      <c r="Q163" s="91">
        <v>3</v>
      </c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.25" customHeight="1" x14ac:dyDescent="0.35">
      <c r="A164" s="97" t="s">
        <v>481</v>
      </c>
      <c r="B164" s="89" t="s">
        <v>467</v>
      </c>
      <c r="C164" s="90"/>
      <c r="D164" s="90"/>
      <c r="E164" s="90"/>
      <c r="F164" s="90"/>
      <c r="G164" s="90"/>
      <c r="H164" s="90"/>
      <c r="I164" s="90"/>
      <c r="J164" s="90"/>
      <c r="K164" s="91">
        <v>1</v>
      </c>
      <c r="L164" s="90"/>
      <c r="M164" s="90"/>
      <c r="N164" s="90"/>
      <c r="O164" s="90"/>
      <c r="P164" s="90"/>
      <c r="Q164" s="91">
        <v>1</v>
      </c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.25" customHeight="1" x14ac:dyDescent="0.35">
      <c r="A165" s="89" t="s">
        <v>482</v>
      </c>
      <c r="B165" s="89" t="s">
        <v>467</v>
      </c>
      <c r="C165" s="90"/>
      <c r="D165" s="90"/>
      <c r="E165" s="90"/>
      <c r="F165" s="90"/>
      <c r="G165" s="90"/>
      <c r="H165" s="90"/>
      <c r="I165" s="90"/>
      <c r="J165" s="90"/>
      <c r="K165" s="91">
        <v>1</v>
      </c>
      <c r="L165" s="90"/>
      <c r="M165" s="90"/>
      <c r="N165" s="90"/>
      <c r="O165" s="90"/>
      <c r="P165" s="90"/>
      <c r="Q165" s="91">
        <v>1</v>
      </c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.25" customHeight="1" x14ac:dyDescent="0.35">
      <c r="A166" s="97" t="s">
        <v>483</v>
      </c>
      <c r="B166" s="89" t="s">
        <v>467</v>
      </c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1">
        <v>2</v>
      </c>
      <c r="O166" s="90"/>
      <c r="P166" s="90"/>
      <c r="Q166" s="91">
        <v>2</v>
      </c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.25" customHeight="1" x14ac:dyDescent="0.35">
      <c r="A167" s="97" t="s">
        <v>484</v>
      </c>
      <c r="B167" s="89" t="s">
        <v>467</v>
      </c>
      <c r="C167" s="90"/>
      <c r="D167" s="90"/>
      <c r="E167" s="90"/>
      <c r="F167" s="90"/>
      <c r="G167" s="90"/>
      <c r="H167" s="90"/>
      <c r="I167" s="90"/>
      <c r="J167" s="90"/>
      <c r="K167" s="91">
        <v>264</v>
      </c>
      <c r="L167" s="90"/>
      <c r="M167" s="90"/>
      <c r="N167" s="90"/>
      <c r="O167" s="90"/>
      <c r="P167" s="90"/>
      <c r="Q167" s="91">
        <v>264</v>
      </c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.25" customHeight="1" x14ac:dyDescent="0.35">
      <c r="A168" s="97" t="s">
        <v>485</v>
      </c>
      <c r="B168" s="89" t="s">
        <v>467</v>
      </c>
      <c r="C168" s="90"/>
      <c r="D168" s="90"/>
      <c r="E168" s="90"/>
      <c r="F168" s="90"/>
      <c r="G168" s="90"/>
      <c r="H168" s="90"/>
      <c r="I168" s="90"/>
      <c r="J168" s="90"/>
      <c r="K168" s="91">
        <v>1</v>
      </c>
      <c r="L168" s="90"/>
      <c r="M168" s="90"/>
      <c r="N168" s="90"/>
      <c r="O168" s="90"/>
      <c r="P168" s="90"/>
      <c r="Q168" s="91">
        <v>1</v>
      </c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.25" customHeight="1" x14ac:dyDescent="0.35">
      <c r="A169" s="97" t="s">
        <v>486</v>
      </c>
      <c r="B169" s="89" t="s">
        <v>467</v>
      </c>
      <c r="C169" s="90"/>
      <c r="D169" s="90"/>
      <c r="E169" s="90"/>
      <c r="F169" s="90"/>
      <c r="G169" s="90"/>
      <c r="H169" s="90"/>
      <c r="I169" s="90"/>
      <c r="J169" s="90"/>
      <c r="K169" s="90"/>
      <c r="L169" s="91">
        <v>3</v>
      </c>
      <c r="M169" s="90"/>
      <c r="N169" s="90"/>
      <c r="O169" s="90"/>
      <c r="P169" s="90"/>
      <c r="Q169" s="91">
        <v>3</v>
      </c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.25" customHeight="1" x14ac:dyDescent="0.35">
      <c r="A170" s="89" t="s">
        <v>487</v>
      </c>
      <c r="B170" s="89" t="s">
        <v>467</v>
      </c>
      <c r="C170" s="90"/>
      <c r="D170" s="90"/>
      <c r="E170" s="90"/>
      <c r="F170" s="90"/>
      <c r="G170" s="90"/>
      <c r="H170" s="90"/>
      <c r="I170" s="90"/>
      <c r="J170" s="90"/>
      <c r="K170" s="91">
        <v>2</v>
      </c>
      <c r="L170" s="90"/>
      <c r="M170" s="90"/>
      <c r="N170" s="90"/>
      <c r="O170" s="90"/>
      <c r="P170" s="90"/>
      <c r="Q170" s="91">
        <v>2</v>
      </c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.25" customHeight="1" x14ac:dyDescent="0.35">
      <c r="A171" s="97" t="s">
        <v>488</v>
      </c>
      <c r="B171" s="89" t="s">
        <v>467</v>
      </c>
      <c r="C171" s="90"/>
      <c r="D171" s="90"/>
      <c r="E171" s="90"/>
      <c r="F171" s="90"/>
      <c r="G171" s="90"/>
      <c r="H171" s="90"/>
      <c r="I171" s="90"/>
      <c r="J171" s="90"/>
      <c r="K171" s="91">
        <v>1</v>
      </c>
      <c r="L171" s="90"/>
      <c r="M171" s="90"/>
      <c r="N171" s="90"/>
      <c r="O171" s="90"/>
      <c r="P171" s="90"/>
      <c r="Q171" s="91">
        <v>1</v>
      </c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.25" customHeight="1" x14ac:dyDescent="0.35">
      <c r="A172" s="97" t="s">
        <v>489</v>
      </c>
      <c r="B172" s="89" t="s">
        <v>467</v>
      </c>
      <c r="C172" s="90"/>
      <c r="D172" s="90"/>
      <c r="E172" s="90"/>
      <c r="F172" s="90"/>
      <c r="G172" s="90"/>
      <c r="H172" s="90"/>
      <c r="I172" s="90"/>
      <c r="J172" s="90"/>
      <c r="K172" s="91">
        <v>1</v>
      </c>
      <c r="L172" s="90"/>
      <c r="M172" s="90"/>
      <c r="N172" s="90"/>
      <c r="O172" s="90"/>
      <c r="P172" s="90"/>
      <c r="Q172" s="91">
        <v>1</v>
      </c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.25" customHeight="1" x14ac:dyDescent="0.35">
      <c r="A173" s="97" t="s">
        <v>490</v>
      </c>
      <c r="B173" s="89" t="s">
        <v>467</v>
      </c>
      <c r="C173" s="90"/>
      <c r="D173" s="90"/>
      <c r="E173" s="90"/>
      <c r="F173" s="90"/>
      <c r="G173" s="90"/>
      <c r="H173" s="90"/>
      <c r="I173" s="90"/>
      <c r="J173" s="90"/>
      <c r="K173" s="91">
        <v>4</v>
      </c>
      <c r="L173" s="90"/>
      <c r="M173" s="90"/>
      <c r="N173" s="90"/>
      <c r="O173" s="90"/>
      <c r="P173" s="90"/>
      <c r="Q173" s="91">
        <v>4</v>
      </c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.25" customHeight="1" x14ac:dyDescent="0.35">
      <c r="A174" s="89" t="s">
        <v>491</v>
      </c>
      <c r="B174" s="89" t="s">
        <v>467</v>
      </c>
      <c r="C174" s="90"/>
      <c r="D174" s="90"/>
      <c r="E174" s="90"/>
      <c r="F174" s="90"/>
      <c r="G174" s="90"/>
      <c r="H174" s="90"/>
      <c r="I174" s="90"/>
      <c r="J174" s="90"/>
      <c r="K174" s="91">
        <v>2</v>
      </c>
      <c r="L174" s="90"/>
      <c r="M174" s="90"/>
      <c r="N174" s="90"/>
      <c r="O174" s="90"/>
      <c r="P174" s="90"/>
      <c r="Q174" s="91">
        <v>2</v>
      </c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.25" customHeight="1" x14ac:dyDescent="0.35">
      <c r="A175" s="89" t="s">
        <v>492</v>
      </c>
      <c r="B175" s="89" t="s">
        <v>467</v>
      </c>
      <c r="C175" s="90"/>
      <c r="D175" s="90"/>
      <c r="E175" s="90"/>
      <c r="F175" s="90"/>
      <c r="G175" s="90"/>
      <c r="H175" s="90"/>
      <c r="I175" s="90"/>
      <c r="J175" s="90"/>
      <c r="K175" s="91">
        <v>1</v>
      </c>
      <c r="L175" s="90"/>
      <c r="M175" s="90"/>
      <c r="N175" s="90"/>
      <c r="O175" s="90"/>
      <c r="P175" s="90"/>
      <c r="Q175" s="91">
        <v>1</v>
      </c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.25" customHeight="1" x14ac:dyDescent="0.35">
      <c r="A176" s="97" t="s">
        <v>493</v>
      </c>
      <c r="B176" s="89" t="s">
        <v>467</v>
      </c>
      <c r="C176" s="90"/>
      <c r="D176" s="90"/>
      <c r="E176" s="90"/>
      <c r="F176" s="90"/>
      <c r="G176" s="90"/>
      <c r="H176" s="90"/>
      <c r="I176" s="90"/>
      <c r="J176" s="90"/>
      <c r="K176" s="91">
        <v>109</v>
      </c>
      <c r="L176" s="90"/>
      <c r="M176" s="90"/>
      <c r="N176" s="90"/>
      <c r="O176" s="90"/>
      <c r="P176" s="90"/>
      <c r="Q176" s="91">
        <v>109</v>
      </c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.25" customHeight="1" x14ac:dyDescent="0.35">
      <c r="A177" s="97" t="s">
        <v>494</v>
      </c>
      <c r="B177" s="89" t="s">
        <v>467</v>
      </c>
      <c r="C177" s="90"/>
      <c r="D177" s="90"/>
      <c r="E177" s="90"/>
      <c r="F177" s="90"/>
      <c r="G177" s="90"/>
      <c r="H177" s="90"/>
      <c r="I177" s="90"/>
      <c r="J177" s="90"/>
      <c r="K177" s="91">
        <v>1</v>
      </c>
      <c r="L177" s="90"/>
      <c r="M177" s="90"/>
      <c r="N177" s="90"/>
      <c r="O177" s="90"/>
      <c r="P177" s="90"/>
      <c r="Q177" s="91">
        <v>1</v>
      </c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.25" customHeight="1" x14ac:dyDescent="0.35">
      <c r="A178" s="97" t="s">
        <v>495</v>
      </c>
      <c r="B178" s="89" t="s">
        <v>467</v>
      </c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1">
        <v>136</v>
      </c>
      <c r="N178" s="90"/>
      <c r="O178" s="90"/>
      <c r="P178" s="90"/>
      <c r="Q178" s="91">
        <v>136</v>
      </c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.25" customHeight="1" x14ac:dyDescent="0.35">
      <c r="A179" s="89" t="s">
        <v>496</v>
      </c>
      <c r="B179" s="89" t="s">
        <v>467</v>
      </c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1">
        <v>3</v>
      </c>
      <c r="O179" s="90"/>
      <c r="P179" s="90"/>
      <c r="Q179" s="91">
        <v>3</v>
      </c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.25" customHeight="1" x14ac:dyDescent="0.35">
      <c r="A180" s="97" t="s">
        <v>58</v>
      </c>
      <c r="B180" s="89" t="s">
        <v>467</v>
      </c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1">
        <v>325</v>
      </c>
      <c r="O180" s="90"/>
      <c r="P180" s="90"/>
      <c r="Q180" s="91">
        <v>325</v>
      </c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.25" customHeight="1" x14ac:dyDescent="0.35">
      <c r="A181" s="97" t="s">
        <v>497</v>
      </c>
      <c r="B181" s="89" t="s">
        <v>467</v>
      </c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1">
        <v>1</v>
      </c>
      <c r="O181" s="90"/>
      <c r="P181" s="90"/>
      <c r="Q181" s="91">
        <v>1</v>
      </c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.25" customHeight="1" x14ac:dyDescent="0.35">
      <c r="A182" s="97" t="s">
        <v>498</v>
      </c>
      <c r="B182" s="89" t="s">
        <v>467</v>
      </c>
      <c r="C182" s="90"/>
      <c r="D182" s="90"/>
      <c r="E182" s="90"/>
      <c r="F182" s="90"/>
      <c r="G182" s="90"/>
      <c r="H182" s="90"/>
      <c r="I182" s="90"/>
      <c r="J182" s="90"/>
      <c r="K182" s="90"/>
      <c r="L182" s="91">
        <v>39</v>
      </c>
      <c r="M182" s="90"/>
      <c r="N182" s="90"/>
      <c r="O182" s="90"/>
      <c r="P182" s="90"/>
      <c r="Q182" s="91">
        <v>39</v>
      </c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.25" customHeight="1" x14ac:dyDescent="0.35">
      <c r="A183" s="89" t="s">
        <v>499</v>
      </c>
      <c r="B183" s="89" t="s">
        <v>467</v>
      </c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1">
        <v>1</v>
      </c>
      <c r="O183" s="90"/>
      <c r="P183" s="90"/>
      <c r="Q183" s="91">
        <v>1</v>
      </c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.25" customHeight="1" x14ac:dyDescent="0.35">
      <c r="A184" s="89" t="s">
        <v>60</v>
      </c>
      <c r="B184" s="89" t="s">
        <v>467</v>
      </c>
      <c r="C184" s="90"/>
      <c r="D184" s="90"/>
      <c r="E184" s="90"/>
      <c r="F184" s="90"/>
      <c r="G184" s="90"/>
      <c r="H184" s="90"/>
      <c r="I184" s="90"/>
      <c r="J184" s="91">
        <v>277</v>
      </c>
      <c r="K184" s="90"/>
      <c r="L184" s="90"/>
      <c r="M184" s="90"/>
      <c r="N184" s="90"/>
      <c r="O184" s="90"/>
      <c r="P184" s="90"/>
      <c r="Q184" s="91">
        <v>277</v>
      </c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.25" customHeight="1" x14ac:dyDescent="0.35">
      <c r="A185" s="89" t="s">
        <v>500</v>
      </c>
      <c r="B185" s="89" t="s">
        <v>467</v>
      </c>
      <c r="C185" s="90"/>
      <c r="D185" s="90"/>
      <c r="E185" s="90"/>
      <c r="F185" s="90"/>
      <c r="G185" s="90"/>
      <c r="H185" s="90"/>
      <c r="I185" s="90"/>
      <c r="J185" s="90"/>
      <c r="K185" s="91">
        <v>1</v>
      </c>
      <c r="L185" s="90"/>
      <c r="M185" s="90"/>
      <c r="N185" s="90"/>
      <c r="O185" s="90"/>
      <c r="P185" s="90"/>
      <c r="Q185" s="91">
        <v>1</v>
      </c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.25" customHeight="1" x14ac:dyDescent="0.35">
      <c r="A186" s="89" t="s">
        <v>501</v>
      </c>
      <c r="B186" s="89" t="s">
        <v>467</v>
      </c>
      <c r="C186" s="90"/>
      <c r="D186" s="90"/>
      <c r="E186" s="90"/>
      <c r="F186" s="90"/>
      <c r="G186" s="90"/>
      <c r="H186" s="90"/>
      <c r="I186" s="90"/>
      <c r="J186" s="90"/>
      <c r="K186" s="91">
        <v>2</v>
      </c>
      <c r="L186" s="90"/>
      <c r="M186" s="90"/>
      <c r="N186" s="90"/>
      <c r="O186" s="90"/>
      <c r="P186" s="90"/>
      <c r="Q186" s="91">
        <v>2</v>
      </c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.25" customHeight="1" x14ac:dyDescent="0.35">
      <c r="A187" s="97" t="s">
        <v>56</v>
      </c>
      <c r="B187" s="89" t="s">
        <v>467</v>
      </c>
      <c r="C187" s="90"/>
      <c r="D187" s="90"/>
      <c r="E187" s="90"/>
      <c r="F187" s="90"/>
      <c r="G187" s="90"/>
      <c r="H187" s="90"/>
      <c r="I187" s="90"/>
      <c r="J187" s="90"/>
      <c r="K187" s="91">
        <v>564</v>
      </c>
      <c r="L187" s="90"/>
      <c r="M187" s="90"/>
      <c r="N187" s="90"/>
      <c r="O187" s="90"/>
      <c r="P187" s="90"/>
      <c r="Q187" s="91">
        <v>564</v>
      </c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.25" customHeight="1" x14ac:dyDescent="0.35">
      <c r="A188" s="89" t="s">
        <v>65</v>
      </c>
      <c r="B188" s="89" t="s">
        <v>467</v>
      </c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1">
        <v>213</v>
      </c>
      <c r="N188" s="90"/>
      <c r="O188" s="90"/>
      <c r="P188" s="90"/>
      <c r="Q188" s="91">
        <v>213</v>
      </c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.25" customHeight="1" x14ac:dyDescent="0.35">
      <c r="A189" s="97" t="s">
        <v>502</v>
      </c>
      <c r="B189" s="89" t="s">
        <v>467</v>
      </c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1">
        <v>1</v>
      </c>
      <c r="N189" s="90"/>
      <c r="O189" s="90"/>
      <c r="P189" s="90"/>
      <c r="Q189" s="91">
        <v>1</v>
      </c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.25" customHeight="1" x14ac:dyDescent="0.35">
      <c r="A190" s="89" t="s">
        <v>55</v>
      </c>
      <c r="B190" s="89" t="s">
        <v>467</v>
      </c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1">
        <v>702</v>
      </c>
      <c r="O190" s="90"/>
      <c r="P190" s="90"/>
      <c r="Q190" s="91">
        <v>702</v>
      </c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.25" customHeight="1" x14ac:dyDescent="0.35">
      <c r="A191" s="89" t="s">
        <v>503</v>
      </c>
      <c r="B191" s="89" t="s">
        <v>467</v>
      </c>
      <c r="C191" s="90"/>
      <c r="D191" s="90"/>
      <c r="E191" s="90"/>
      <c r="F191" s="90"/>
      <c r="G191" s="90"/>
      <c r="H191" s="90"/>
      <c r="I191" s="90"/>
      <c r="J191" s="90"/>
      <c r="K191" s="90"/>
      <c r="L191" s="91">
        <v>1</v>
      </c>
      <c r="M191" s="90"/>
      <c r="N191" s="90"/>
      <c r="O191" s="90"/>
      <c r="P191" s="90"/>
      <c r="Q191" s="91">
        <v>1</v>
      </c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.25" customHeight="1" x14ac:dyDescent="0.35">
      <c r="A192" s="89" t="s">
        <v>64</v>
      </c>
      <c r="B192" s="89" t="s">
        <v>467</v>
      </c>
      <c r="C192" s="90"/>
      <c r="D192" s="90"/>
      <c r="E192" s="90"/>
      <c r="F192" s="90"/>
      <c r="G192" s="90"/>
      <c r="H192" s="90"/>
      <c r="I192" s="90"/>
      <c r="J192" s="90"/>
      <c r="K192" s="90"/>
      <c r="L192" s="91">
        <v>233</v>
      </c>
      <c r="M192" s="90"/>
      <c r="N192" s="90"/>
      <c r="O192" s="90"/>
      <c r="P192" s="90"/>
      <c r="Q192" s="91">
        <v>233</v>
      </c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.25" customHeight="1" x14ac:dyDescent="0.35">
      <c r="A193" s="97" t="s">
        <v>504</v>
      </c>
      <c r="B193" s="89" t="s">
        <v>467</v>
      </c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1">
        <v>1</v>
      </c>
      <c r="O193" s="90"/>
      <c r="P193" s="90"/>
      <c r="Q193" s="91">
        <v>1</v>
      </c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.25" customHeight="1" x14ac:dyDescent="0.35">
      <c r="A194" s="89" t="s">
        <v>505</v>
      </c>
      <c r="B194" s="89" t="s">
        <v>467</v>
      </c>
      <c r="C194" s="90"/>
      <c r="D194" s="90"/>
      <c r="E194" s="90"/>
      <c r="F194" s="90"/>
      <c r="G194" s="90"/>
      <c r="H194" s="90"/>
      <c r="I194" s="90"/>
      <c r="J194" s="90"/>
      <c r="K194" s="91">
        <v>1</v>
      </c>
      <c r="L194" s="90"/>
      <c r="M194" s="90"/>
      <c r="N194" s="90"/>
      <c r="O194" s="90"/>
      <c r="P194" s="90"/>
      <c r="Q194" s="91">
        <v>1</v>
      </c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.25" customHeight="1" x14ac:dyDescent="0.35">
      <c r="A195" s="97" t="s">
        <v>506</v>
      </c>
      <c r="B195" s="89" t="s">
        <v>467</v>
      </c>
      <c r="C195" s="90"/>
      <c r="D195" s="90"/>
      <c r="E195" s="90"/>
      <c r="F195" s="90"/>
      <c r="G195" s="90"/>
      <c r="H195" s="90"/>
      <c r="I195" s="90"/>
      <c r="J195" s="90"/>
      <c r="K195" s="91">
        <v>1</v>
      </c>
      <c r="L195" s="90"/>
      <c r="M195" s="90"/>
      <c r="N195" s="90"/>
      <c r="O195" s="90"/>
      <c r="P195" s="90"/>
      <c r="Q195" s="91">
        <v>1</v>
      </c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.25" customHeight="1" x14ac:dyDescent="0.35">
      <c r="A196" s="97" t="s">
        <v>507</v>
      </c>
      <c r="B196" s="89" t="s">
        <v>467</v>
      </c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1">
        <v>60</v>
      </c>
      <c r="P196" s="90"/>
      <c r="Q196" s="91">
        <v>60</v>
      </c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.25" customHeight="1" x14ac:dyDescent="0.35">
      <c r="A197" s="97" t="s">
        <v>508</v>
      </c>
      <c r="B197" s="89" t="s">
        <v>467</v>
      </c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1">
        <v>1</v>
      </c>
      <c r="P197" s="90"/>
      <c r="Q197" s="91">
        <v>1</v>
      </c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.25" customHeight="1" x14ac:dyDescent="0.35">
      <c r="A198" s="97" t="s">
        <v>509</v>
      </c>
      <c r="B198" s="89" t="s">
        <v>467</v>
      </c>
      <c r="C198" s="90"/>
      <c r="D198" s="90"/>
      <c r="E198" s="90"/>
      <c r="F198" s="90"/>
      <c r="G198" s="90"/>
      <c r="H198" s="90"/>
      <c r="I198" s="90"/>
      <c r="J198" s="90"/>
      <c r="K198" s="91">
        <v>1</v>
      </c>
      <c r="L198" s="90"/>
      <c r="M198" s="90"/>
      <c r="N198" s="90"/>
      <c r="O198" s="90"/>
      <c r="P198" s="90"/>
      <c r="Q198" s="91">
        <v>1</v>
      </c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.25" customHeight="1" x14ac:dyDescent="0.35">
      <c r="A199" s="97" t="s">
        <v>510</v>
      </c>
      <c r="B199" s="89" t="s">
        <v>467</v>
      </c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1">
        <v>1</v>
      </c>
      <c r="O199" s="90"/>
      <c r="P199" s="90"/>
      <c r="Q199" s="91">
        <v>1</v>
      </c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.25" customHeight="1" x14ac:dyDescent="0.35">
      <c r="A200" s="97" t="s">
        <v>511</v>
      </c>
      <c r="B200" s="89" t="s">
        <v>467</v>
      </c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1">
        <v>1</v>
      </c>
      <c r="O200" s="90"/>
      <c r="P200" s="90"/>
      <c r="Q200" s="91">
        <v>1</v>
      </c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.25" customHeight="1" x14ac:dyDescent="0.35">
      <c r="A201" s="97" t="s">
        <v>512</v>
      </c>
      <c r="B201" s="89" t="s">
        <v>467</v>
      </c>
      <c r="C201" s="90"/>
      <c r="D201" s="90"/>
      <c r="E201" s="90"/>
      <c r="F201" s="90"/>
      <c r="G201" s="90"/>
      <c r="H201" s="90"/>
      <c r="I201" s="90"/>
      <c r="J201" s="90"/>
      <c r="K201" s="91">
        <v>3</v>
      </c>
      <c r="L201" s="90"/>
      <c r="M201" s="90"/>
      <c r="N201" s="90"/>
      <c r="O201" s="90"/>
      <c r="P201" s="90"/>
      <c r="Q201" s="91">
        <v>3</v>
      </c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.25" customHeight="1" x14ac:dyDescent="0.35">
      <c r="A202" s="97" t="s">
        <v>513</v>
      </c>
      <c r="B202" s="89" t="s">
        <v>467</v>
      </c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1">
        <v>5</v>
      </c>
      <c r="N202" s="90"/>
      <c r="O202" s="90"/>
      <c r="P202" s="90"/>
      <c r="Q202" s="91">
        <v>5</v>
      </c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.25" customHeight="1" x14ac:dyDescent="0.35">
      <c r="A203" s="89" t="s">
        <v>514</v>
      </c>
      <c r="B203" s="89" t="s">
        <v>467</v>
      </c>
      <c r="C203" s="90"/>
      <c r="D203" s="90"/>
      <c r="E203" s="91">
        <v>2</v>
      </c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1">
        <v>2</v>
      </c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.25" customHeight="1" x14ac:dyDescent="0.35">
      <c r="A204" s="89" t="s">
        <v>515</v>
      </c>
      <c r="B204" s="89" t="s">
        <v>467</v>
      </c>
      <c r="C204" s="90"/>
      <c r="D204" s="90"/>
      <c r="E204" s="90"/>
      <c r="F204" s="90"/>
      <c r="G204" s="91">
        <v>4</v>
      </c>
      <c r="H204" s="90"/>
      <c r="I204" s="90"/>
      <c r="J204" s="90"/>
      <c r="K204" s="90"/>
      <c r="L204" s="90"/>
      <c r="M204" s="90"/>
      <c r="N204" s="90"/>
      <c r="O204" s="90"/>
      <c r="P204" s="90"/>
      <c r="Q204" s="91">
        <v>4</v>
      </c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.25" customHeight="1" x14ac:dyDescent="0.35">
      <c r="A205" s="89" t="s">
        <v>516</v>
      </c>
      <c r="B205" s="89" t="s">
        <v>467</v>
      </c>
      <c r="C205" s="90"/>
      <c r="D205" s="90"/>
      <c r="E205" s="90"/>
      <c r="F205" s="90"/>
      <c r="G205" s="90"/>
      <c r="H205" s="90"/>
      <c r="I205" s="90"/>
      <c r="J205" s="91">
        <v>2</v>
      </c>
      <c r="K205" s="90"/>
      <c r="L205" s="90"/>
      <c r="M205" s="90"/>
      <c r="N205" s="90"/>
      <c r="O205" s="90"/>
      <c r="P205" s="90"/>
      <c r="Q205" s="91">
        <v>2</v>
      </c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.25" customHeight="1" x14ac:dyDescent="0.35">
      <c r="A206" s="92" t="s">
        <v>517</v>
      </c>
      <c r="B206" s="89" t="s">
        <v>467</v>
      </c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4">
        <v>1</v>
      </c>
      <c r="Q206" s="94">
        <v>1</v>
      </c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.25" customHeight="1" x14ac:dyDescent="0.35">
      <c r="A207" s="82"/>
      <c r="B207" s="96" t="s">
        <v>518</v>
      </c>
      <c r="C207" s="82"/>
      <c r="D207" s="82"/>
      <c r="E207" s="95">
        <v>5</v>
      </c>
      <c r="F207" s="95">
        <v>14</v>
      </c>
      <c r="G207" s="95">
        <v>52</v>
      </c>
      <c r="H207" s="95">
        <v>57</v>
      </c>
      <c r="I207" s="82"/>
      <c r="J207" s="95">
        <v>289</v>
      </c>
      <c r="K207" s="95">
        <v>979</v>
      </c>
      <c r="L207" s="95">
        <v>276</v>
      </c>
      <c r="M207" s="95">
        <v>355</v>
      </c>
      <c r="N207" s="95">
        <v>1037</v>
      </c>
      <c r="O207" s="95">
        <v>103</v>
      </c>
      <c r="P207" s="95">
        <v>1</v>
      </c>
      <c r="Q207" s="95">
        <v>3168</v>
      </c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.25" customHeight="1" x14ac:dyDescent="0.35">
      <c r="A208" s="89" t="s">
        <v>519</v>
      </c>
      <c r="B208" s="89" t="s">
        <v>520</v>
      </c>
      <c r="C208" s="90"/>
      <c r="D208" s="90"/>
      <c r="E208" s="90"/>
      <c r="F208" s="90"/>
      <c r="G208" s="90"/>
      <c r="H208" s="90"/>
      <c r="I208" s="91">
        <v>1</v>
      </c>
      <c r="J208" s="90"/>
      <c r="K208" s="90"/>
      <c r="L208" s="90"/>
      <c r="M208" s="90"/>
      <c r="N208" s="90"/>
      <c r="O208" s="90"/>
      <c r="P208" s="90"/>
      <c r="Q208" s="91">
        <v>1</v>
      </c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.25" customHeight="1" x14ac:dyDescent="0.35">
      <c r="A209" s="89" t="s">
        <v>521</v>
      </c>
      <c r="B209" s="89" t="s">
        <v>520</v>
      </c>
      <c r="C209" s="90"/>
      <c r="D209" s="90"/>
      <c r="E209" s="90"/>
      <c r="F209" s="90"/>
      <c r="G209" s="90"/>
      <c r="H209" s="90"/>
      <c r="I209" s="90"/>
      <c r="J209" s="90"/>
      <c r="K209" s="91">
        <v>1</v>
      </c>
      <c r="L209" s="90"/>
      <c r="M209" s="90"/>
      <c r="N209" s="90"/>
      <c r="O209" s="90"/>
      <c r="P209" s="90"/>
      <c r="Q209" s="91">
        <v>1</v>
      </c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.25" customHeight="1" x14ac:dyDescent="0.35">
      <c r="A210" s="89" t="s">
        <v>522</v>
      </c>
      <c r="B210" s="89" t="s">
        <v>520</v>
      </c>
      <c r="C210" s="91">
        <v>2</v>
      </c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1">
        <v>2</v>
      </c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.25" customHeight="1" x14ac:dyDescent="0.35">
      <c r="A211" s="89" t="s">
        <v>69</v>
      </c>
      <c r="B211" s="89" t="s">
        <v>520</v>
      </c>
      <c r="C211" s="90"/>
      <c r="D211" s="91">
        <v>122</v>
      </c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1">
        <v>122</v>
      </c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.25" customHeight="1" x14ac:dyDescent="0.35">
      <c r="A212" s="89" t="s">
        <v>523</v>
      </c>
      <c r="B212" s="89" t="s">
        <v>520</v>
      </c>
      <c r="C212" s="90"/>
      <c r="D212" s="90"/>
      <c r="E212" s="91">
        <v>36</v>
      </c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1">
        <v>36</v>
      </c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.25" customHeight="1" x14ac:dyDescent="0.35">
      <c r="A213" s="89" t="s">
        <v>68</v>
      </c>
      <c r="B213" s="89" t="s">
        <v>520</v>
      </c>
      <c r="C213" s="90"/>
      <c r="D213" s="90"/>
      <c r="E213" s="90"/>
      <c r="F213" s="90"/>
      <c r="G213" s="90"/>
      <c r="H213" s="90"/>
      <c r="I213" s="91">
        <v>424</v>
      </c>
      <c r="J213" s="90"/>
      <c r="K213" s="90"/>
      <c r="L213" s="90"/>
      <c r="M213" s="90"/>
      <c r="N213" s="90"/>
      <c r="O213" s="90"/>
      <c r="P213" s="90"/>
      <c r="Q213" s="91">
        <v>424</v>
      </c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.25" customHeight="1" x14ac:dyDescent="0.35">
      <c r="A214" s="89" t="s">
        <v>524</v>
      </c>
      <c r="B214" s="89" t="s">
        <v>520</v>
      </c>
      <c r="C214" s="90"/>
      <c r="D214" s="90"/>
      <c r="E214" s="90"/>
      <c r="F214" s="90"/>
      <c r="G214" s="90"/>
      <c r="H214" s="90"/>
      <c r="I214" s="91">
        <v>6</v>
      </c>
      <c r="J214" s="90"/>
      <c r="K214" s="90"/>
      <c r="L214" s="90"/>
      <c r="M214" s="90"/>
      <c r="N214" s="90"/>
      <c r="O214" s="90"/>
      <c r="P214" s="90"/>
      <c r="Q214" s="91">
        <v>6</v>
      </c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.25" customHeight="1" x14ac:dyDescent="0.35">
      <c r="A215" s="89" t="s">
        <v>525</v>
      </c>
      <c r="B215" s="89" t="s">
        <v>520</v>
      </c>
      <c r="C215" s="90"/>
      <c r="D215" s="90"/>
      <c r="E215" s="90"/>
      <c r="F215" s="90"/>
      <c r="G215" s="90"/>
      <c r="H215" s="90"/>
      <c r="I215" s="91">
        <v>1</v>
      </c>
      <c r="J215" s="90"/>
      <c r="K215" s="90"/>
      <c r="L215" s="90"/>
      <c r="M215" s="90"/>
      <c r="N215" s="90"/>
      <c r="O215" s="90"/>
      <c r="P215" s="90"/>
      <c r="Q215" s="91">
        <v>1</v>
      </c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.25" customHeight="1" x14ac:dyDescent="0.35">
      <c r="A216" s="89" t="s">
        <v>67</v>
      </c>
      <c r="B216" s="89" t="s">
        <v>520</v>
      </c>
      <c r="C216" s="90"/>
      <c r="D216" s="90"/>
      <c r="E216" s="90"/>
      <c r="F216" s="90"/>
      <c r="G216" s="90"/>
      <c r="H216" s="90"/>
      <c r="I216" s="90"/>
      <c r="J216" s="90"/>
      <c r="K216" s="91">
        <v>10</v>
      </c>
      <c r="L216" s="90"/>
      <c r="M216" s="90"/>
      <c r="N216" s="90"/>
      <c r="O216" s="90"/>
      <c r="P216" s="90"/>
      <c r="Q216" s="91">
        <v>10</v>
      </c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.25" customHeight="1" x14ac:dyDescent="0.35">
      <c r="A217" s="89" t="s">
        <v>66</v>
      </c>
      <c r="B217" s="89" t="s">
        <v>520</v>
      </c>
      <c r="C217" s="90"/>
      <c r="D217" s="90"/>
      <c r="E217" s="90"/>
      <c r="F217" s="90"/>
      <c r="G217" s="90"/>
      <c r="H217" s="90"/>
      <c r="I217" s="90"/>
      <c r="J217" s="90"/>
      <c r="K217" s="91">
        <v>1102</v>
      </c>
      <c r="L217" s="90"/>
      <c r="M217" s="90"/>
      <c r="N217" s="90"/>
      <c r="O217" s="90"/>
      <c r="P217" s="91">
        <v>2</v>
      </c>
      <c r="Q217" s="91">
        <v>1104</v>
      </c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.25" customHeight="1" x14ac:dyDescent="0.35">
      <c r="A218" s="89" t="s">
        <v>526</v>
      </c>
      <c r="B218" s="89" t="s">
        <v>520</v>
      </c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1">
        <v>4</v>
      </c>
      <c r="Q218" s="91">
        <v>4</v>
      </c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.25" customHeight="1" x14ac:dyDescent="0.35">
      <c r="A219" s="92" t="s">
        <v>527</v>
      </c>
      <c r="B219" s="89" t="s">
        <v>520</v>
      </c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4">
        <v>4</v>
      </c>
      <c r="Q219" s="94">
        <v>4</v>
      </c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.25" customHeight="1" x14ac:dyDescent="0.35">
      <c r="A220" s="82"/>
      <c r="B220" s="96" t="s">
        <v>528</v>
      </c>
      <c r="C220" s="95">
        <v>2</v>
      </c>
      <c r="D220" s="95">
        <v>122</v>
      </c>
      <c r="E220" s="95">
        <v>36</v>
      </c>
      <c r="F220" s="82"/>
      <c r="G220" s="82"/>
      <c r="H220" s="82"/>
      <c r="I220" s="95">
        <v>432</v>
      </c>
      <c r="J220" s="82"/>
      <c r="K220" s="95">
        <v>1113</v>
      </c>
      <c r="L220" s="82"/>
      <c r="M220" s="82"/>
      <c r="N220" s="82"/>
      <c r="O220" s="82"/>
      <c r="P220" s="95">
        <v>10</v>
      </c>
      <c r="Q220" s="95">
        <v>1715</v>
      </c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.25" customHeight="1" x14ac:dyDescent="0.35">
      <c r="A221" s="97" t="s">
        <v>73</v>
      </c>
      <c r="B221" s="89" t="s">
        <v>529</v>
      </c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1">
        <v>600</v>
      </c>
      <c r="N221" s="90"/>
      <c r="O221" s="90"/>
      <c r="P221" s="90"/>
      <c r="Q221" s="91">
        <v>600</v>
      </c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 x14ac:dyDescent="0.35">
      <c r="A222" s="97" t="s">
        <v>71</v>
      </c>
      <c r="B222" s="89" t="s">
        <v>529</v>
      </c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1">
        <v>635</v>
      </c>
      <c r="O222" s="90"/>
      <c r="P222" s="90"/>
      <c r="Q222" s="91">
        <v>635</v>
      </c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 x14ac:dyDescent="0.35">
      <c r="A223" s="97" t="s">
        <v>530</v>
      </c>
      <c r="B223" s="89" t="s">
        <v>529</v>
      </c>
      <c r="C223" s="90"/>
      <c r="D223" s="90"/>
      <c r="E223" s="90"/>
      <c r="F223" s="90"/>
      <c r="G223" s="90"/>
      <c r="H223" s="90"/>
      <c r="I223" s="90"/>
      <c r="J223" s="90"/>
      <c r="K223" s="90"/>
      <c r="L223" s="91">
        <v>2</v>
      </c>
      <c r="M223" s="90"/>
      <c r="N223" s="90"/>
      <c r="O223" s="90"/>
      <c r="P223" s="90"/>
      <c r="Q223" s="91">
        <v>2</v>
      </c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 x14ac:dyDescent="0.35">
      <c r="A224" s="89" t="s">
        <v>531</v>
      </c>
      <c r="B224" s="89" t="s">
        <v>529</v>
      </c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1">
        <v>162</v>
      </c>
      <c r="P224" s="90"/>
      <c r="Q224" s="91">
        <v>162</v>
      </c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 x14ac:dyDescent="0.35">
      <c r="A225" s="97" t="s">
        <v>532</v>
      </c>
      <c r="B225" s="89" t="s">
        <v>529</v>
      </c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1">
        <v>2</v>
      </c>
      <c r="P225" s="90"/>
      <c r="Q225" s="91">
        <v>2</v>
      </c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 x14ac:dyDescent="0.35">
      <c r="A226" s="89" t="s">
        <v>533</v>
      </c>
      <c r="B226" s="89" t="s">
        <v>529</v>
      </c>
      <c r="C226" s="90"/>
      <c r="D226" s="91">
        <v>16</v>
      </c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1">
        <v>16</v>
      </c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 x14ac:dyDescent="0.35">
      <c r="A227" s="89" t="s">
        <v>534</v>
      </c>
      <c r="B227" s="89" t="s">
        <v>529</v>
      </c>
      <c r="C227" s="90"/>
      <c r="D227" s="90"/>
      <c r="E227" s="91">
        <v>26</v>
      </c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1">
        <v>26</v>
      </c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 x14ac:dyDescent="0.35">
      <c r="A228" s="89" t="s">
        <v>535</v>
      </c>
      <c r="B228" s="89" t="s">
        <v>529</v>
      </c>
      <c r="C228" s="90"/>
      <c r="D228" s="90"/>
      <c r="E228" s="90"/>
      <c r="F228" s="90"/>
      <c r="G228" s="90"/>
      <c r="H228" s="90"/>
      <c r="I228" s="90"/>
      <c r="J228" s="91">
        <v>1</v>
      </c>
      <c r="K228" s="90"/>
      <c r="L228" s="90"/>
      <c r="M228" s="90"/>
      <c r="N228" s="90"/>
      <c r="O228" s="90"/>
      <c r="P228" s="90"/>
      <c r="Q228" s="91">
        <v>1</v>
      </c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 x14ac:dyDescent="0.35">
      <c r="A229" s="89" t="s">
        <v>536</v>
      </c>
      <c r="B229" s="89" t="s">
        <v>529</v>
      </c>
      <c r="C229" s="90"/>
      <c r="D229" s="90"/>
      <c r="E229" s="90"/>
      <c r="F229" s="90"/>
      <c r="G229" s="90"/>
      <c r="H229" s="90"/>
      <c r="I229" s="90"/>
      <c r="J229" s="90"/>
      <c r="K229" s="91">
        <v>252</v>
      </c>
      <c r="L229" s="90"/>
      <c r="M229" s="90"/>
      <c r="N229" s="90"/>
      <c r="O229" s="90"/>
      <c r="P229" s="90"/>
      <c r="Q229" s="91">
        <v>252</v>
      </c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 x14ac:dyDescent="0.35">
      <c r="A230" s="89" t="s">
        <v>537</v>
      </c>
      <c r="B230" s="89" t="s">
        <v>529</v>
      </c>
      <c r="C230" s="90"/>
      <c r="D230" s="90"/>
      <c r="E230" s="90"/>
      <c r="F230" s="90"/>
      <c r="G230" s="90"/>
      <c r="H230" s="90"/>
      <c r="I230" s="91">
        <v>94</v>
      </c>
      <c r="J230" s="90"/>
      <c r="K230" s="90"/>
      <c r="L230" s="90"/>
      <c r="M230" s="90"/>
      <c r="N230" s="90"/>
      <c r="O230" s="90"/>
      <c r="P230" s="90"/>
      <c r="Q230" s="91">
        <v>94</v>
      </c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.25" customHeight="1" x14ac:dyDescent="0.35">
      <c r="A231" s="89" t="s">
        <v>538</v>
      </c>
      <c r="B231" s="89" t="s">
        <v>529</v>
      </c>
      <c r="C231" s="90"/>
      <c r="D231" s="90"/>
      <c r="E231" s="90"/>
      <c r="F231" s="90"/>
      <c r="G231" s="90"/>
      <c r="H231" s="90"/>
      <c r="I231" s="91">
        <v>1</v>
      </c>
      <c r="J231" s="90"/>
      <c r="K231" s="90"/>
      <c r="L231" s="90"/>
      <c r="M231" s="90"/>
      <c r="N231" s="90"/>
      <c r="O231" s="90"/>
      <c r="P231" s="90"/>
      <c r="Q231" s="91">
        <v>1</v>
      </c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.25" customHeight="1" x14ac:dyDescent="0.35">
      <c r="A232" s="89" t="s">
        <v>539</v>
      </c>
      <c r="B232" s="89" t="s">
        <v>529</v>
      </c>
      <c r="C232" s="90"/>
      <c r="D232" s="90"/>
      <c r="E232" s="90"/>
      <c r="F232" s="90"/>
      <c r="G232" s="90"/>
      <c r="H232" s="90"/>
      <c r="I232" s="90"/>
      <c r="J232" s="91">
        <v>5</v>
      </c>
      <c r="K232" s="90"/>
      <c r="L232" s="90"/>
      <c r="M232" s="90"/>
      <c r="N232" s="90"/>
      <c r="O232" s="90"/>
      <c r="P232" s="90"/>
      <c r="Q232" s="91">
        <v>5</v>
      </c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.25" customHeight="1" x14ac:dyDescent="0.35">
      <c r="A233" s="89" t="s">
        <v>540</v>
      </c>
      <c r="B233" s="89" t="s">
        <v>529</v>
      </c>
      <c r="C233" s="90"/>
      <c r="D233" s="90"/>
      <c r="E233" s="90"/>
      <c r="F233" s="90"/>
      <c r="G233" s="90"/>
      <c r="H233" s="90"/>
      <c r="I233" s="90"/>
      <c r="J233" s="91">
        <v>334</v>
      </c>
      <c r="K233" s="90"/>
      <c r="L233" s="90"/>
      <c r="M233" s="90"/>
      <c r="N233" s="90"/>
      <c r="O233" s="90"/>
      <c r="P233" s="90"/>
      <c r="Q233" s="91">
        <v>334</v>
      </c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.25" customHeight="1" x14ac:dyDescent="0.35">
      <c r="A234" s="89" t="s">
        <v>541</v>
      </c>
      <c r="B234" s="89" t="s">
        <v>529</v>
      </c>
      <c r="C234" s="90"/>
      <c r="D234" s="90"/>
      <c r="E234" s="90"/>
      <c r="F234" s="90"/>
      <c r="G234" s="90"/>
      <c r="H234" s="90"/>
      <c r="I234" s="90"/>
      <c r="J234" s="91">
        <v>1</v>
      </c>
      <c r="K234" s="90"/>
      <c r="L234" s="90"/>
      <c r="M234" s="90"/>
      <c r="N234" s="90"/>
      <c r="O234" s="90"/>
      <c r="P234" s="90"/>
      <c r="Q234" s="91">
        <v>1</v>
      </c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.25" customHeight="1" x14ac:dyDescent="0.35">
      <c r="A235" s="97" t="s">
        <v>542</v>
      </c>
      <c r="B235" s="89" t="s">
        <v>529</v>
      </c>
      <c r="C235" s="90"/>
      <c r="D235" s="90"/>
      <c r="E235" s="90"/>
      <c r="F235" s="90"/>
      <c r="G235" s="90"/>
      <c r="H235" s="90"/>
      <c r="I235" s="90"/>
      <c r="J235" s="91">
        <v>1</v>
      </c>
      <c r="K235" s="90"/>
      <c r="L235" s="90"/>
      <c r="M235" s="90"/>
      <c r="N235" s="90"/>
      <c r="O235" s="90"/>
      <c r="P235" s="90"/>
      <c r="Q235" s="91">
        <v>1</v>
      </c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.25" customHeight="1" x14ac:dyDescent="0.35">
      <c r="A236" s="89" t="s">
        <v>54</v>
      </c>
      <c r="B236" s="89" t="s">
        <v>529</v>
      </c>
      <c r="C236" s="90"/>
      <c r="D236" s="90"/>
      <c r="E236" s="90"/>
      <c r="F236" s="90"/>
      <c r="G236" s="90"/>
      <c r="H236" s="90"/>
      <c r="I236" s="90"/>
      <c r="J236" s="90"/>
      <c r="K236" s="91">
        <v>4</v>
      </c>
      <c r="L236" s="90"/>
      <c r="M236" s="90"/>
      <c r="N236" s="90"/>
      <c r="O236" s="90"/>
      <c r="P236" s="90"/>
      <c r="Q236" s="91">
        <v>4</v>
      </c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.25" customHeight="1" x14ac:dyDescent="0.35">
      <c r="A237" s="89" t="s">
        <v>70</v>
      </c>
      <c r="B237" s="89" t="s">
        <v>529</v>
      </c>
      <c r="C237" s="90"/>
      <c r="D237" s="90"/>
      <c r="E237" s="90"/>
      <c r="F237" s="90"/>
      <c r="G237" s="90"/>
      <c r="H237" s="90"/>
      <c r="I237" s="90"/>
      <c r="J237" s="90"/>
      <c r="K237" s="91">
        <v>2114</v>
      </c>
      <c r="L237" s="90"/>
      <c r="M237" s="90"/>
      <c r="N237" s="90"/>
      <c r="O237" s="90"/>
      <c r="P237" s="91">
        <v>2</v>
      </c>
      <c r="Q237" s="91">
        <v>2116</v>
      </c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.25" customHeight="1" x14ac:dyDescent="0.35">
      <c r="A238" s="97" t="s">
        <v>543</v>
      </c>
      <c r="B238" s="89" t="s">
        <v>529</v>
      </c>
      <c r="C238" s="90"/>
      <c r="D238" s="90"/>
      <c r="E238" s="90"/>
      <c r="F238" s="90"/>
      <c r="G238" s="90"/>
      <c r="H238" s="90"/>
      <c r="I238" s="90"/>
      <c r="J238" s="90"/>
      <c r="K238" s="91">
        <v>1</v>
      </c>
      <c r="L238" s="90"/>
      <c r="M238" s="90"/>
      <c r="N238" s="90"/>
      <c r="O238" s="90"/>
      <c r="P238" s="90"/>
      <c r="Q238" s="91">
        <v>1</v>
      </c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.25" customHeight="1" x14ac:dyDescent="0.35">
      <c r="A239" s="92" t="s">
        <v>544</v>
      </c>
      <c r="B239" s="89" t="s">
        <v>529</v>
      </c>
      <c r="C239" s="93"/>
      <c r="D239" s="93"/>
      <c r="E239" s="93"/>
      <c r="F239" s="93"/>
      <c r="G239" s="93"/>
      <c r="H239" s="93"/>
      <c r="I239" s="93"/>
      <c r="J239" s="93"/>
      <c r="K239" s="94">
        <v>2</v>
      </c>
      <c r="L239" s="93"/>
      <c r="M239" s="93"/>
      <c r="N239" s="93"/>
      <c r="O239" s="93"/>
      <c r="P239" s="93"/>
      <c r="Q239" s="94">
        <v>2</v>
      </c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.25" customHeight="1" x14ac:dyDescent="0.35">
      <c r="A240" s="82"/>
      <c r="B240" s="96" t="s">
        <v>545</v>
      </c>
      <c r="C240" s="82"/>
      <c r="D240" s="95">
        <v>16</v>
      </c>
      <c r="E240" s="95">
        <v>26</v>
      </c>
      <c r="F240" s="82"/>
      <c r="G240" s="82"/>
      <c r="H240" s="82"/>
      <c r="I240" s="95">
        <v>95</v>
      </c>
      <c r="J240" s="95">
        <v>342</v>
      </c>
      <c r="K240" s="95">
        <v>2373</v>
      </c>
      <c r="L240" s="95">
        <v>2</v>
      </c>
      <c r="M240" s="95">
        <v>600</v>
      </c>
      <c r="N240" s="95">
        <v>635</v>
      </c>
      <c r="O240" s="95">
        <v>164</v>
      </c>
      <c r="P240" s="95">
        <v>2</v>
      </c>
      <c r="Q240" s="95">
        <v>4255</v>
      </c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.25" customHeight="1" x14ac:dyDescent="0.35">
      <c r="A241" s="89" t="s">
        <v>546</v>
      </c>
      <c r="B241" s="89" t="s">
        <v>547</v>
      </c>
      <c r="C241" s="90"/>
      <c r="D241" s="90"/>
      <c r="E241" s="90"/>
      <c r="F241" s="90"/>
      <c r="G241" s="90"/>
      <c r="H241" s="91">
        <v>1</v>
      </c>
      <c r="I241" s="90"/>
      <c r="J241" s="90"/>
      <c r="K241" s="90"/>
      <c r="L241" s="90"/>
      <c r="M241" s="90"/>
      <c r="N241" s="90"/>
      <c r="O241" s="90"/>
      <c r="P241" s="90"/>
      <c r="Q241" s="91">
        <v>1</v>
      </c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.25" customHeight="1" x14ac:dyDescent="0.35">
      <c r="A242" s="89" t="s">
        <v>548</v>
      </c>
      <c r="B242" s="89" t="s">
        <v>547</v>
      </c>
      <c r="C242" s="90"/>
      <c r="D242" s="90"/>
      <c r="E242" s="90"/>
      <c r="F242" s="91">
        <v>1</v>
      </c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1">
        <v>1</v>
      </c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.25" customHeight="1" x14ac:dyDescent="0.35">
      <c r="A243" s="89" t="s">
        <v>549</v>
      </c>
      <c r="B243" s="89" t="s">
        <v>547</v>
      </c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1">
        <v>103</v>
      </c>
      <c r="Q243" s="91">
        <v>103</v>
      </c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.25" customHeight="1" x14ac:dyDescent="0.35">
      <c r="A244" s="89" t="s">
        <v>550</v>
      </c>
      <c r="B244" s="89" t="s">
        <v>547</v>
      </c>
      <c r="C244" s="90"/>
      <c r="D244" s="90"/>
      <c r="E244" s="90"/>
      <c r="F244" s="90"/>
      <c r="G244" s="90"/>
      <c r="H244" s="90"/>
      <c r="I244" s="90"/>
      <c r="J244" s="90"/>
      <c r="K244" s="90"/>
      <c r="L244" s="91">
        <v>5</v>
      </c>
      <c r="M244" s="90"/>
      <c r="N244" s="90"/>
      <c r="O244" s="90"/>
      <c r="P244" s="90"/>
      <c r="Q244" s="91">
        <v>5</v>
      </c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.25" customHeight="1" x14ac:dyDescent="0.35">
      <c r="A245" s="89" t="s">
        <v>74</v>
      </c>
      <c r="B245" s="89" t="s">
        <v>547</v>
      </c>
      <c r="C245" s="90"/>
      <c r="D245" s="90"/>
      <c r="E245" s="90"/>
      <c r="F245" s="90"/>
      <c r="G245" s="90"/>
      <c r="H245" s="90"/>
      <c r="I245" s="90"/>
      <c r="J245" s="90"/>
      <c r="K245" s="90"/>
      <c r="L245" s="91">
        <v>3052</v>
      </c>
      <c r="M245" s="90"/>
      <c r="N245" s="90"/>
      <c r="O245" s="90"/>
      <c r="P245" s="90"/>
      <c r="Q245" s="91">
        <v>3052</v>
      </c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.25" customHeight="1" x14ac:dyDescent="0.35">
      <c r="A246" s="89" t="s">
        <v>551</v>
      </c>
      <c r="B246" s="89" t="s">
        <v>547</v>
      </c>
      <c r="C246" s="90"/>
      <c r="D246" s="90"/>
      <c r="E246" s="90"/>
      <c r="F246" s="90"/>
      <c r="G246" s="90"/>
      <c r="H246" s="90"/>
      <c r="I246" s="90"/>
      <c r="J246" s="90"/>
      <c r="K246" s="90"/>
      <c r="L246" s="91">
        <v>9</v>
      </c>
      <c r="M246" s="90"/>
      <c r="N246" s="90"/>
      <c r="O246" s="90"/>
      <c r="P246" s="90"/>
      <c r="Q246" s="91">
        <v>9</v>
      </c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.25" customHeight="1" x14ac:dyDescent="0.35">
      <c r="A247" s="89" t="s">
        <v>79</v>
      </c>
      <c r="B247" s="89" t="s">
        <v>547</v>
      </c>
      <c r="C247" s="90"/>
      <c r="D247" s="90"/>
      <c r="E247" s="90"/>
      <c r="F247" s="90"/>
      <c r="G247" s="90"/>
      <c r="H247" s="90"/>
      <c r="I247" s="90"/>
      <c r="J247" s="90"/>
      <c r="K247" s="90"/>
      <c r="L247" s="91">
        <v>543</v>
      </c>
      <c r="M247" s="90"/>
      <c r="N247" s="90"/>
      <c r="O247" s="90"/>
      <c r="P247" s="90"/>
      <c r="Q247" s="91">
        <v>543</v>
      </c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.25" customHeight="1" x14ac:dyDescent="0.35">
      <c r="A248" s="89" t="s">
        <v>552</v>
      </c>
      <c r="B248" s="89" t="s">
        <v>547</v>
      </c>
      <c r="C248" s="90"/>
      <c r="D248" s="90"/>
      <c r="E248" s="91">
        <v>1</v>
      </c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1">
        <v>1</v>
      </c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.25" customHeight="1" x14ac:dyDescent="0.35">
      <c r="A249" s="89" t="s">
        <v>553</v>
      </c>
      <c r="B249" s="89" t="s">
        <v>547</v>
      </c>
      <c r="C249" s="91">
        <v>16</v>
      </c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1">
        <v>16</v>
      </c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.25" customHeight="1" x14ac:dyDescent="0.35">
      <c r="A250" s="89" t="s">
        <v>554</v>
      </c>
      <c r="B250" s="89" t="s">
        <v>547</v>
      </c>
      <c r="C250" s="91">
        <v>64</v>
      </c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1">
        <v>64</v>
      </c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.25" customHeight="1" x14ac:dyDescent="0.35">
      <c r="A251" s="89" t="s">
        <v>555</v>
      </c>
      <c r="B251" s="89" t="s">
        <v>547</v>
      </c>
      <c r="C251" s="90"/>
      <c r="D251" s="90"/>
      <c r="E251" s="91">
        <v>142</v>
      </c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1">
        <v>142</v>
      </c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.25" customHeight="1" x14ac:dyDescent="0.35">
      <c r="A252" s="89" t="s">
        <v>556</v>
      </c>
      <c r="B252" s="89" t="s">
        <v>547</v>
      </c>
      <c r="C252" s="90"/>
      <c r="D252" s="90"/>
      <c r="E252" s="91">
        <v>65</v>
      </c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1">
        <v>65</v>
      </c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.25" customHeight="1" x14ac:dyDescent="0.35">
      <c r="A253" s="89" t="s">
        <v>557</v>
      </c>
      <c r="B253" s="89" t="s">
        <v>547</v>
      </c>
      <c r="C253" s="90"/>
      <c r="D253" s="90"/>
      <c r="E253" s="91">
        <v>35</v>
      </c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1">
        <v>35</v>
      </c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.25" customHeight="1" x14ac:dyDescent="0.35">
      <c r="A254" s="89" t="s">
        <v>558</v>
      </c>
      <c r="B254" s="89" t="s">
        <v>547</v>
      </c>
      <c r="C254" s="90"/>
      <c r="D254" s="90"/>
      <c r="E254" s="90"/>
      <c r="F254" s="91">
        <v>1</v>
      </c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1">
        <v>1</v>
      </c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.25" customHeight="1" x14ac:dyDescent="0.35">
      <c r="A255" s="89" t="s">
        <v>559</v>
      </c>
      <c r="B255" s="89" t="s">
        <v>547</v>
      </c>
      <c r="C255" s="90"/>
      <c r="D255" s="90"/>
      <c r="E255" s="90"/>
      <c r="F255" s="91">
        <v>359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1">
        <v>359</v>
      </c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.25" customHeight="1" x14ac:dyDescent="0.35">
      <c r="A256" s="89" t="s">
        <v>560</v>
      </c>
      <c r="B256" s="89" t="s">
        <v>547</v>
      </c>
      <c r="C256" s="90"/>
      <c r="D256" s="90"/>
      <c r="E256" s="90"/>
      <c r="F256" s="91">
        <v>14</v>
      </c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1">
        <v>14</v>
      </c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.25" customHeight="1" x14ac:dyDescent="0.35">
      <c r="A257" s="89" t="s">
        <v>561</v>
      </c>
      <c r="B257" s="89" t="s">
        <v>547</v>
      </c>
      <c r="C257" s="90"/>
      <c r="D257" s="90"/>
      <c r="E257" s="90"/>
      <c r="F257" s="91">
        <v>72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1">
        <v>72</v>
      </c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.25" customHeight="1" x14ac:dyDescent="0.35">
      <c r="A258" s="89" t="s">
        <v>562</v>
      </c>
      <c r="B258" s="89" t="s">
        <v>547</v>
      </c>
      <c r="C258" s="90"/>
      <c r="D258" s="90"/>
      <c r="E258" s="90"/>
      <c r="F258" s="91">
        <v>242</v>
      </c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1">
        <v>242</v>
      </c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.25" customHeight="1" x14ac:dyDescent="0.35">
      <c r="A259" s="89" t="s">
        <v>82</v>
      </c>
      <c r="B259" s="89" t="s">
        <v>547</v>
      </c>
      <c r="C259" s="90"/>
      <c r="D259" s="90"/>
      <c r="E259" s="90"/>
      <c r="F259" s="90"/>
      <c r="G259" s="90"/>
      <c r="H259" s="90"/>
      <c r="I259" s="91">
        <v>393</v>
      </c>
      <c r="J259" s="90"/>
      <c r="K259" s="90"/>
      <c r="L259" s="90"/>
      <c r="M259" s="90"/>
      <c r="N259" s="90"/>
      <c r="O259" s="90"/>
      <c r="P259" s="90"/>
      <c r="Q259" s="91">
        <v>393</v>
      </c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.25" customHeight="1" x14ac:dyDescent="0.35">
      <c r="A260" s="89" t="s">
        <v>563</v>
      </c>
      <c r="B260" s="89" t="s">
        <v>547</v>
      </c>
      <c r="C260" s="90"/>
      <c r="D260" s="90"/>
      <c r="E260" s="90"/>
      <c r="F260" s="90"/>
      <c r="G260" s="90"/>
      <c r="H260" s="90"/>
      <c r="I260" s="91">
        <v>98</v>
      </c>
      <c r="J260" s="90"/>
      <c r="K260" s="90"/>
      <c r="L260" s="90"/>
      <c r="M260" s="90"/>
      <c r="N260" s="90"/>
      <c r="O260" s="90"/>
      <c r="P260" s="90"/>
      <c r="Q260" s="91">
        <v>98</v>
      </c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.25" customHeight="1" x14ac:dyDescent="0.35">
      <c r="A261" s="89" t="s">
        <v>564</v>
      </c>
      <c r="B261" s="89" t="s">
        <v>547</v>
      </c>
      <c r="C261" s="90"/>
      <c r="D261" s="90"/>
      <c r="E261" s="90"/>
      <c r="F261" s="90"/>
      <c r="G261" s="90"/>
      <c r="H261" s="90"/>
      <c r="I261" s="91">
        <v>3</v>
      </c>
      <c r="J261" s="90"/>
      <c r="K261" s="90"/>
      <c r="L261" s="90"/>
      <c r="M261" s="90"/>
      <c r="N261" s="90"/>
      <c r="O261" s="90"/>
      <c r="P261" s="90"/>
      <c r="Q261" s="91">
        <v>3</v>
      </c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.25" customHeight="1" x14ac:dyDescent="0.35">
      <c r="A262" s="89" t="s">
        <v>565</v>
      </c>
      <c r="B262" s="89" t="s">
        <v>547</v>
      </c>
      <c r="C262" s="90"/>
      <c r="D262" s="90"/>
      <c r="E262" s="90"/>
      <c r="F262" s="90"/>
      <c r="G262" s="90"/>
      <c r="H262" s="90"/>
      <c r="I262" s="91">
        <v>358</v>
      </c>
      <c r="J262" s="90"/>
      <c r="K262" s="90"/>
      <c r="L262" s="90"/>
      <c r="M262" s="90"/>
      <c r="N262" s="90"/>
      <c r="O262" s="90"/>
      <c r="P262" s="90"/>
      <c r="Q262" s="91">
        <v>358</v>
      </c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.25" customHeight="1" x14ac:dyDescent="0.35">
      <c r="A263" s="89" t="s">
        <v>566</v>
      </c>
      <c r="B263" s="89" t="s">
        <v>547</v>
      </c>
      <c r="C263" s="90"/>
      <c r="D263" s="90"/>
      <c r="E263" s="90"/>
      <c r="F263" s="90"/>
      <c r="G263" s="90"/>
      <c r="H263" s="90"/>
      <c r="I263" s="91">
        <v>3</v>
      </c>
      <c r="J263" s="90"/>
      <c r="K263" s="90"/>
      <c r="L263" s="90"/>
      <c r="M263" s="90"/>
      <c r="N263" s="90"/>
      <c r="O263" s="90"/>
      <c r="P263" s="90"/>
      <c r="Q263" s="91">
        <v>3</v>
      </c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.25" customHeight="1" x14ac:dyDescent="0.35">
      <c r="A264" s="89" t="s">
        <v>77</v>
      </c>
      <c r="B264" s="89" t="s">
        <v>547</v>
      </c>
      <c r="C264" s="90"/>
      <c r="D264" s="90"/>
      <c r="E264" s="90"/>
      <c r="F264" s="90"/>
      <c r="G264" s="90"/>
      <c r="H264" s="90"/>
      <c r="I264" s="90"/>
      <c r="J264" s="91">
        <v>1043</v>
      </c>
      <c r="K264" s="90"/>
      <c r="L264" s="90"/>
      <c r="M264" s="90"/>
      <c r="N264" s="90"/>
      <c r="O264" s="90"/>
      <c r="P264" s="90"/>
      <c r="Q264" s="91">
        <v>1043</v>
      </c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.25" customHeight="1" x14ac:dyDescent="0.35">
      <c r="A265" s="89" t="s">
        <v>567</v>
      </c>
      <c r="B265" s="89" t="s">
        <v>547</v>
      </c>
      <c r="C265" s="90"/>
      <c r="D265" s="90"/>
      <c r="E265" s="90"/>
      <c r="F265" s="90"/>
      <c r="G265" s="90"/>
      <c r="H265" s="90"/>
      <c r="I265" s="90"/>
      <c r="J265" s="91">
        <v>1</v>
      </c>
      <c r="K265" s="90"/>
      <c r="L265" s="90"/>
      <c r="M265" s="90"/>
      <c r="N265" s="90"/>
      <c r="O265" s="90"/>
      <c r="P265" s="90"/>
      <c r="Q265" s="91">
        <v>1</v>
      </c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.25" customHeight="1" x14ac:dyDescent="0.35">
      <c r="A266" s="89" t="s">
        <v>568</v>
      </c>
      <c r="B266" s="89" t="s">
        <v>547</v>
      </c>
      <c r="C266" s="90"/>
      <c r="D266" s="90"/>
      <c r="E266" s="90"/>
      <c r="F266" s="90"/>
      <c r="G266" s="90"/>
      <c r="H266" s="90"/>
      <c r="I266" s="90"/>
      <c r="J266" s="91">
        <v>1</v>
      </c>
      <c r="K266" s="90"/>
      <c r="L266" s="90"/>
      <c r="M266" s="90"/>
      <c r="N266" s="90"/>
      <c r="O266" s="90"/>
      <c r="P266" s="90"/>
      <c r="Q266" s="91">
        <v>1</v>
      </c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.25" customHeight="1" x14ac:dyDescent="0.35">
      <c r="A267" s="89" t="s">
        <v>569</v>
      </c>
      <c r="B267" s="89" t="s">
        <v>547</v>
      </c>
      <c r="C267" s="90"/>
      <c r="D267" s="90"/>
      <c r="E267" s="90"/>
      <c r="F267" s="90"/>
      <c r="G267" s="90"/>
      <c r="H267" s="90"/>
      <c r="I267" s="90"/>
      <c r="J267" s="91">
        <v>1</v>
      </c>
      <c r="K267" s="90"/>
      <c r="L267" s="90"/>
      <c r="M267" s="90"/>
      <c r="N267" s="90"/>
      <c r="O267" s="90"/>
      <c r="P267" s="90"/>
      <c r="Q267" s="91">
        <v>1</v>
      </c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.25" customHeight="1" x14ac:dyDescent="0.35">
      <c r="A268" s="89" t="s">
        <v>84</v>
      </c>
      <c r="B268" s="89" t="s">
        <v>547</v>
      </c>
      <c r="C268" s="90"/>
      <c r="D268" s="90"/>
      <c r="E268" s="90"/>
      <c r="F268" s="90"/>
      <c r="G268" s="90"/>
      <c r="H268" s="90"/>
      <c r="I268" s="90"/>
      <c r="J268" s="91">
        <v>367</v>
      </c>
      <c r="K268" s="90"/>
      <c r="L268" s="90"/>
      <c r="M268" s="90"/>
      <c r="N268" s="90"/>
      <c r="O268" s="90"/>
      <c r="P268" s="90"/>
      <c r="Q268" s="91">
        <v>367</v>
      </c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.25" customHeight="1" x14ac:dyDescent="0.35">
      <c r="A269" s="89" t="s">
        <v>570</v>
      </c>
      <c r="B269" s="89" t="s">
        <v>547</v>
      </c>
      <c r="C269" s="90"/>
      <c r="D269" s="90"/>
      <c r="E269" s="90"/>
      <c r="F269" s="90"/>
      <c r="G269" s="90"/>
      <c r="H269" s="90"/>
      <c r="I269" s="90"/>
      <c r="J269" s="90"/>
      <c r="K269" s="91">
        <v>3</v>
      </c>
      <c r="L269" s="90"/>
      <c r="M269" s="90"/>
      <c r="N269" s="90"/>
      <c r="O269" s="90"/>
      <c r="P269" s="90"/>
      <c r="Q269" s="91">
        <v>3</v>
      </c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.25" customHeight="1" x14ac:dyDescent="0.35">
      <c r="A270" s="89" t="s">
        <v>75</v>
      </c>
      <c r="B270" s="89" t="s">
        <v>547</v>
      </c>
      <c r="C270" s="90"/>
      <c r="D270" s="90"/>
      <c r="E270" s="90"/>
      <c r="F270" s="90"/>
      <c r="G270" s="90"/>
      <c r="H270" s="90"/>
      <c r="I270" s="90"/>
      <c r="J270" s="90"/>
      <c r="K270" s="91">
        <v>1848</v>
      </c>
      <c r="L270" s="90"/>
      <c r="M270" s="90"/>
      <c r="N270" s="90"/>
      <c r="O270" s="90"/>
      <c r="P270" s="90"/>
      <c r="Q270" s="91">
        <v>1848</v>
      </c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.25" customHeight="1" x14ac:dyDescent="0.35">
      <c r="A271" s="89" t="s">
        <v>571</v>
      </c>
      <c r="B271" s="89" t="s">
        <v>547</v>
      </c>
      <c r="C271" s="90"/>
      <c r="D271" s="90"/>
      <c r="E271" s="90"/>
      <c r="F271" s="90"/>
      <c r="G271" s="90"/>
      <c r="H271" s="90"/>
      <c r="I271" s="90"/>
      <c r="J271" s="90"/>
      <c r="K271" s="91">
        <v>7</v>
      </c>
      <c r="L271" s="90"/>
      <c r="M271" s="90"/>
      <c r="N271" s="90"/>
      <c r="O271" s="90"/>
      <c r="P271" s="90"/>
      <c r="Q271" s="91">
        <v>7</v>
      </c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.25" customHeight="1" x14ac:dyDescent="0.35">
      <c r="A272" s="89" t="s">
        <v>572</v>
      </c>
      <c r="B272" s="89" t="s">
        <v>547</v>
      </c>
      <c r="C272" s="90"/>
      <c r="D272" s="90"/>
      <c r="E272" s="90"/>
      <c r="F272" s="90"/>
      <c r="G272" s="90"/>
      <c r="H272" s="90"/>
      <c r="I272" s="90"/>
      <c r="J272" s="90"/>
      <c r="K272" s="91">
        <v>11</v>
      </c>
      <c r="L272" s="90"/>
      <c r="M272" s="90"/>
      <c r="N272" s="90"/>
      <c r="O272" s="90"/>
      <c r="P272" s="90"/>
      <c r="Q272" s="91">
        <v>11</v>
      </c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.25" customHeight="1" x14ac:dyDescent="0.35">
      <c r="A273" s="89" t="s">
        <v>78</v>
      </c>
      <c r="B273" s="89" t="s">
        <v>547</v>
      </c>
      <c r="C273" s="90"/>
      <c r="D273" s="90"/>
      <c r="E273" s="90"/>
      <c r="F273" s="90"/>
      <c r="G273" s="90"/>
      <c r="H273" s="90"/>
      <c r="I273" s="90"/>
      <c r="J273" s="90"/>
      <c r="K273" s="91">
        <v>662</v>
      </c>
      <c r="L273" s="90"/>
      <c r="M273" s="90"/>
      <c r="N273" s="90"/>
      <c r="O273" s="90"/>
      <c r="P273" s="90"/>
      <c r="Q273" s="91">
        <v>662</v>
      </c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.25" customHeight="1" x14ac:dyDescent="0.35">
      <c r="A274" s="89" t="s">
        <v>573</v>
      </c>
      <c r="B274" s="89" t="s">
        <v>547</v>
      </c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1">
        <v>1</v>
      </c>
      <c r="Q274" s="91">
        <v>1</v>
      </c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.25" customHeight="1" x14ac:dyDescent="0.35">
      <c r="A275" s="89" t="s">
        <v>574</v>
      </c>
      <c r="B275" s="89" t="s">
        <v>547</v>
      </c>
      <c r="C275" s="90"/>
      <c r="D275" s="90"/>
      <c r="E275" s="90"/>
      <c r="F275" s="90"/>
      <c r="G275" s="90"/>
      <c r="H275" s="90"/>
      <c r="I275" s="90"/>
      <c r="J275" s="91">
        <v>1</v>
      </c>
      <c r="K275" s="90"/>
      <c r="L275" s="90"/>
      <c r="M275" s="90"/>
      <c r="N275" s="90"/>
      <c r="O275" s="90"/>
      <c r="P275" s="90"/>
      <c r="Q275" s="91">
        <v>1</v>
      </c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.25" customHeight="1" x14ac:dyDescent="0.35">
      <c r="A276" s="89" t="s">
        <v>575</v>
      </c>
      <c r="B276" s="89" t="s">
        <v>547</v>
      </c>
      <c r="C276" s="90"/>
      <c r="D276" s="91">
        <v>1</v>
      </c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1">
        <v>1</v>
      </c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.25" customHeight="1" x14ac:dyDescent="0.35">
      <c r="A277" s="89" t="s">
        <v>576</v>
      </c>
      <c r="B277" s="89" t="s">
        <v>547</v>
      </c>
      <c r="C277" s="90"/>
      <c r="D277" s="91">
        <v>310</v>
      </c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1">
        <v>310</v>
      </c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.25" customHeight="1" x14ac:dyDescent="0.35">
      <c r="A278" s="89" t="s">
        <v>80</v>
      </c>
      <c r="B278" s="89" t="s">
        <v>547</v>
      </c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1">
        <v>490</v>
      </c>
      <c r="Q278" s="91">
        <v>490</v>
      </c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.25" customHeight="1" x14ac:dyDescent="0.35">
      <c r="A279" s="89" t="s">
        <v>577</v>
      </c>
      <c r="B279" s="89" t="s">
        <v>547</v>
      </c>
      <c r="C279" s="90"/>
      <c r="D279" s="90"/>
      <c r="E279" s="90"/>
      <c r="F279" s="90"/>
      <c r="G279" s="90"/>
      <c r="H279" s="90"/>
      <c r="I279" s="90"/>
      <c r="J279" s="90"/>
      <c r="K279" s="91">
        <v>1</v>
      </c>
      <c r="L279" s="90"/>
      <c r="M279" s="90"/>
      <c r="N279" s="90"/>
      <c r="O279" s="90"/>
      <c r="P279" s="90"/>
      <c r="Q279" s="91">
        <v>1</v>
      </c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.25" customHeight="1" x14ac:dyDescent="0.35">
      <c r="A280" s="89" t="s">
        <v>578</v>
      </c>
      <c r="B280" s="89" t="s">
        <v>547</v>
      </c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1">
        <v>58</v>
      </c>
      <c r="Q280" s="91">
        <v>58</v>
      </c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.25" customHeight="1" x14ac:dyDescent="0.35">
      <c r="A281" s="89" t="s">
        <v>579</v>
      </c>
      <c r="B281" s="89" t="s">
        <v>547</v>
      </c>
      <c r="C281" s="90"/>
      <c r="D281" s="90"/>
      <c r="E281" s="90"/>
      <c r="F281" s="90"/>
      <c r="G281" s="90"/>
      <c r="H281" s="90"/>
      <c r="I281" s="91">
        <v>1</v>
      </c>
      <c r="J281" s="90"/>
      <c r="K281" s="90"/>
      <c r="L281" s="90"/>
      <c r="M281" s="90"/>
      <c r="N281" s="90"/>
      <c r="O281" s="90"/>
      <c r="P281" s="90"/>
      <c r="Q281" s="91">
        <v>1</v>
      </c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.25" customHeight="1" x14ac:dyDescent="0.35">
      <c r="A282" s="89" t="s">
        <v>580</v>
      </c>
      <c r="B282" s="89" t="s">
        <v>547</v>
      </c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1">
        <v>1</v>
      </c>
      <c r="Q282" s="91">
        <v>1</v>
      </c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.25" customHeight="1" x14ac:dyDescent="0.35">
      <c r="A283" s="89" t="s">
        <v>581</v>
      </c>
      <c r="B283" s="89" t="s">
        <v>547</v>
      </c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1">
        <v>20</v>
      </c>
      <c r="Q283" s="91">
        <v>20</v>
      </c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.25" customHeight="1" x14ac:dyDescent="0.35">
      <c r="A284" s="89" t="s">
        <v>582</v>
      </c>
      <c r="B284" s="89" t="s">
        <v>547</v>
      </c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1">
        <v>1</v>
      </c>
      <c r="Q284" s="91">
        <v>1</v>
      </c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.25" customHeight="1" x14ac:dyDescent="0.35">
      <c r="A285" s="89" t="s">
        <v>583</v>
      </c>
      <c r="B285" s="89" t="s">
        <v>547</v>
      </c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1">
        <v>2</v>
      </c>
      <c r="Q285" s="91">
        <v>2</v>
      </c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.25" customHeight="1" x14ac:dyDescent="0.35">
      <c r="A286" s="92" t="s">
        <v>584</v>
      </c>
      <c r="B286" s="89" t="s">
        <v>547</v>
      </c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4">
        <v>1</v>
      </c>
      <c r="Q286" s="94">
        <v>1</v>
      </c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.25" customHeight="1" x14ac:dyDescent="0.35">
      <c r="A287" s="82"/>
      <c r="B287" s="82" t="s">
        <v>585</v>
      </c>
      <c r="C287" s="95">
        <v>80</v>
      </c>
      <c r="D287" s="95">
        <v>311</v>
      </c>
      <c r="E287" s="95">
        <v>243</v>
      </c>
      <c r="F287" s="95">
        <v>689</v>
      </c>
      <c r="G287" s="82"/>
      <c r="H287" s="95">
        <v>1</v>
      </c>
      <c r="I287" s="95">
        <v>856</v>
      </c>
      <c r="J287" s="95">
        <v>1414</v>
      </c>
      <c r="K287" s="95">
        <v>2532</v>
      </c>
      <c r="L287" s="95">
        <v>3609</v>
      </c>
      <c r="M287" s="82"/>
      <c r="N287" s="82"/>
      <c r="O287" s="82"/>
      <c r="P287" s="95">
        <v>677</v>
      </c>
      <c r="Q287" s="95">
        <v>10412</v>
      </c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.25" customHeight="1" x14ac:dyDescent="0.35">
      <c r="A288" s="89" t="s">
        <v>586</v>
      </c>
      <c r="B288" s="89" t="s">
        <v>587</v>
      </c>
      <c r="C288" s="90"/>
      <c r="D288" s="90"/>
      <c r="E288" s="90"/>
      <c r="F288" s="91">
        <v>1</v>
      </c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1">
        <v>1</v>
      </c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.25" customHeight="1" x14ac:dyDescent="0.35">
      <c r="A289" s="89" t="s">
        <v>588</v>
      </c>
      <c r="B289" s="89" t="s">
        <v>587</v>
      </c>
      <c r="C289" s="90"/>
      <c r="D289" s="90"/>
      <c r="E289" s="90"/>
      <c r="F289" s="90"/>
      <c r="G289" s="90"/>
      <c r="H289" s="90"/>
      <c r="I289" s="90"/>
      <c r="J289" s="90"/>
      <c r="K289" s="90"/>
      <c r="L289" s="91">
        <v>1</v>
      </c>
      <c r="M289" s="90"/>
      <c r="N289" s="90"/>
      <c r="O289" s="90"/>
      <c r="P289" s="90"/>
      <c r="Q289" s="91">
        <v>1</v>
      </c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.25" customHeight="1" x14ac:dyDescent="0.35">
      <c r="A290" s="89" t="s">
        <v>589</v>
      </c>
      <c r="B290" s="89" t="s">
        <v>587</v>
      </c>
      <c r="C290" s="90"/>
      <c r="D290" s="90"/>
      <c r="E290" s="90"/>
      <c r="F290" s="90"/>
      <c r="G290" s="90"/>
      <c r="H290" s="90"/>
      <c r="I290" s="90"/>
      <c r="J290" s="90"/>
      <c r="K290" s="90"/>
      <c r="L290" s="91">
        <v>1</v>
      </c>
      <c r="M290" s="90"/>
      <c r="N290" s="90"/>
      <c r="O290" s="90"/>
      <c r="P290" s="90"/>
      <c r="Q290" s="91">
        <v>1</v>
      </c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.25" customHeight="1" x14ac:dyDescent="0.35">
      <c r="A291" s="89" t="s">
        <v>590</v>
      </c>
      <c r="B291" s="89" t="s">
        <v>587</v>
      </c>
      <c r="C291" s="90"/>
      <c r="D291" s="90"/>
      <c r="E291" s="90"/>
      <c r="F291" s="90"/>
      <c r="G291" s="90"/>
      <c r="H291" s="90"/>
      <c r="I291" s="91">
        <v>8</v>
      </c>
      <c r="J291" s="90"/>
      <c r="K291" s="90"/>
      <c r="L291" s="90"/>
      <c r="M291" s="90"/>
      <c r="N291" s="90"/>
      <c r="O291" s="90"/>
      <c r="P291" s="90"/>
      <c r="Q291" s="91">
        <v>8</v>
      </c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.25" customHeight="1" x14ac:dyDescent="0.35">
      <c r="A292" s="89" t="s">
        <v>89</v>
      </c>
      <c r="B292" s="89" t="s">
        <v>587</v>
      </c>
      <c r="C292" s="90"/>
      <c r="D292" s="90"/>
      <c r="E292" s="90"/>
      <c r="F292" s="90"/>
      <c r="G292" s="90"/>
      <c r="H292" s="90"/>
      <c r="I292" s="90"/>
      <c r="J292" s="90"/>
      <c r="K292" s="90"/>
      <c r="L292" s="91">
        <v>43</v>
      </c>
      <c r="M292" s="90"/>
      <c r="N292" s="90"/>
      <c r="O292" s="90"/>
      <c r="P292" s="90"/>
      <c r="Q292" s="91">
        <v>43</v>
      </c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.25" customHeight="1" x14ac:dyDescent="0.35">
      <c r="A293" s="89" t="s">
        <v>591</v>
      </c>
      <c r="B293" s="89" t="s">
        <v>587</v>
      </c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1">
        <v>1</v>
      </c>
      <c r="Q293" s="91">
        <v>1</v>
      </c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.25" customHeight="1" x14ac:dyDescent="0.35">
      <c r="A294" s="89" t="s">
        <v>85</v>
      </c>
      <c r="B294" s="89" t="s">
        <v>587</v>
      </c>
      <c r="C294" s="90"/>
      <c r="D294" s="90"/>
      <c r="E294" s="90"/>
      <c r="F294" s="90"/>
      <c r="G294" s="90"/>
      <c r="H294" s="90"/>
      <c r="I294" s="90"/>
      <c r="J294" s="91">
        <v>237</v>
      </c>
      <c r="K294" s="90"/>
      <c r="L294" s="90"/>
      <c r="M294" s="90"/>
      <c r="N294" s="90"/>
      <c r="O294" s="90"/>
      <c r="P294" s="90"/>
      <c r="Q294" s="91">
        <v>237</v>
      </c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.25" customHeight="1" x14ac:dyDescent="0.35">
      <c r="A295" s="89" t="s">
        <v>87</v>
      </c>
      <c r="B295" s="89" t="s">
        <v>587</v>
      </c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1">
        <v>55</v>
      </c>
      <c r="N295" s="90"/>
      <c r="O295" s="90"/>
      <c r="P295" s="90"/>
      <c r="Q295" s="91">
        <v>55</v>
      </c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.25" customHeight="1" x14ac:dyDescent="0.35">
      <c r="A296" s="89" t="s">
        <v>592</v>
      </c>
      <c r="B296" s="89" t="s">
        <v>587</v>
      </c>
      <c r="C296" s="90"/>
      <c r="D296" s="91">
        <v>3</v>
      </c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1">
        <v>3</v>
      </c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.25" customHeight="1" x14ac:dyDescent="0.35">
      <c r="A297" s="89" t="s">
        <v>593</v>
      </c>
      <c r="B297" s="89" t="s">
        <v>587</v>
      </c>
      <c r="C297" s="90"/>
      <c r="D297" s="90"/>
      <c r="E297" s="90"/>
      <c r="F297" s="91">
        <v>33</v>
      </c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1">
        <v>33</v>
      </c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.25" customHeight="1" x14ac:dyDescent="0.35">
      <c r="A298" s="89" t="s">
        <v>594</v>
      </c>
      <c r="B298" s="89" t="s">
        <v>587</v>
      </c>
      <c r="C298" s="90"/>
      <c r="D298" s="90"/>
      <c r="E298" s="90"/>
      <c r="F298" s="90"/>
      <c r="G298" s="90"/>
      <c r="H298" s="90"/>
      <c r="I298" s="91">
        <v>11</v>
      </c>
      <c r="J298" s="90"/>
      <c r="K298" s="90"/>
      <c r="L298" s="90"/>
      <c r="M298" s="90"/>
      <c r="N298" s="90"/>
      <c r="O298" s="90"/>
      <c r="P298" s="90"/>
      <c r="Q298" s="91">
        <v>11</v>
      </c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.25" customHeight="1" x14ac:dyDescent="0.35">
      <c r="A299" s="89" t="s">
        <v>595</v>
      </c>
      <c r="B299" s="89" t="s">
        <v>587</v>
      </c>
      <c r="C299" s="90"/>
      <c r="D299" s="90"/>
      <c r="E299" s="90"/>
      <c r="F299" s="90"/>
      <c r="G299" s="90"/>
      <c r="H299" s="90"/>
      <c r="I299" s="90"/>
      <c r="J299" s="91">
        <v>2</v>
      </c>
      <c r="K299" s="90"/>
      <c r="L299" s="90"/>
      <c r="M299" s="90"/>
      <c r="N299" s="90"/>
      <c r="O299" s="90"/>
      <c r="P299" s="90"/>
      <c r="Q299" s="91">
        <v>2</v>
      </c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.25" customHeight="1" x14ac:dyDescent="0.35">
      <c r="A300" s="89" t="s">
        <v>596</v>
      </c>
      <c r="B300" s="89" t="s">
        <v>587</v>
      </c>
      <c r="C300" s="90"/>
      <c r="D300" s="90"/>
      <c r="E300" s="90"/>
      <c r="F300" s="90"/>
      <c r="G300" s="90"/>
      <c r="H300" s="90"/>
      <c r="I300" s="90"/>
      <c r="J300" s="91">
        <v>2</v>
      </c>
      <c r="K300" s="90"/>
      <c r="L300" s="90"/>
      <c r="M300" s="90"/>
      <c r="N300" s="90"/>
      <c r="O300" s="90"/>
      <c r="P300" s="90"/>
      <c r="Q300" s="91">
        <v>2</v>
      </c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.25" customHeight="1" x14ac:dyDescent="0.35">
      <c r="A301" s="89" t="s">
        <v>597</v>
      </c>
      <c r="B301" s="89" t="s">
        <v>587</v>
      </c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1">
        <v>1</v>
      </c>
      <c r="Q301" s="91">
        <v>1</v>
      </c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.25" customHeight="1" x14ac:dyDescent="0.35">
      <c r="A302" s="89" t="s">
        <v>598</v>
      </c>
      <c r="B302" s="89" t="s">
        <v>587</v>
      </c>
      <c r="C302" s="90"/>
      <c r="D302" s="90"/>
      <c r="E302" s="90"/>
      <c r="F302" s="90"/>
      <c r="G302" s="90"/>
      <c r="H302" s="90"/>
      <c r="I302" s="91">
        <v>17</v>
      </c>
      <c r="J302" s="90"/>
      <c r="K302" s="90"/>
      <c r="L302" s="90"/>
      <c r="M302" s="90"/>
      <c r="N302" s="90"/>
      <c r="O302" s="90"/>
      <c r="P302" s="90"/>
      <c r="Q302" s="91">
        <v>17</v>
      </c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.25" customHeight="1" x14ac:dyDescent="0.35">
      <c r="A303" s="89" t="s">
        <v>599</v>
      </c>
      <c r="B303" s="89" t="s">
        <v>587</v>
      </c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1">
        <v>1</v>
      </c>
      <c r="Q303" s="91">
        <v>1</v>
      </c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.25" customHeight="1" x14ac:dyDescent="0.35">
      <c r="A304" s="89" t="s">
        <v>600</v>
      </c>
      <c r="B304" s="89" t="s">
        <v>587</v>
      </c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1">
        <v>2</v>
      </c>
      <c r="Q304" s="91">
        <v>2</v>
      </c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.25" customHeight="1" x14ac:dyDescent="0.35">
      <c r="A305" s="89" t="s">
        <v>601</v>
      </c>
      <c r="B305" s="89" t="s">
        <v>587</v>
      </c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1">
        <v>2</v>
      </c>
      <c r="Q305" s="91">
        <v>2</v>
      </c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.25" customHeight="1" x14ac:dyDescent="0.35">
      <c r="A306" s="92" t="s">
        <v>602</v>
      </c>
      <c r="B306" s="89" t="s">
        <v>587</v>
      </c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4">
        <v>1</v>
      </c>
      <c r="Q306" s="94">
        <v>1</v>
      </c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.25" customHeight="1" x14ac:dyDescent="0.35">
      <c r="A307" s="82"/>
      <c r="B307" s="82" t="s">
        <v>603</v>
      </c>
      <c r="C307" s="82"/>
      <c r="D307" s="95">
        <v>3</v>
      </c>
      <c r="E307" s="82"/>
      <c r="F307" s="95">
        <v>34</v>
      </c>
      <c r="G307" s="82"/>
      <c r="H307" s="82"/>
      <c r="I307" s="95">
        <v>36</v>
      </c>
      <c r="J307" s="95">
        <v>241</v>
      </c>
      <c r="K307" s="82"/>
      <c r="L307" s="95">
        <v>45</v>
      </c>
      <c r="M307" s="95">
        <v>55</v>
      </c>
      <c r="N307" s="82"/>
      <c r="O307" s="82"/>
      <c r="P307" s="95">
        <v>8</v>
      </c>
      <c r="Q307" s="95">
        <v>422</v>
      </c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.25" customHeight="1" x14ac:dyDescent="0.35">
      <c r="A308" s="89" t="s">
        <v>604</v>
      </c>
      <c r="B308" s="89" t="s">
        <v>605</v>
      </c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1">
        <v>1</v>
      </c>
      <c r="Q308" s="91">
        <v>1</v>
      </c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.25" customHeight="1" x14ac:dyDescent="0.35">
      <c r="A309" s="89" t="s">
        <v>606</v>
      </c>
      <c r="B309" s="89" t="s">
        <v>605</v>
      </c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1">
        <v>1</v>
      </c>
      <c r="Q309" s="91">
        <v>1</v>
      </c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.25" customHeight="1" x14ac:dyDescent="0.35">
      <c r="A310" s="89" t="s">
        <v>90</v>
      </c>
      <c r="B310" s="89" t="s">
        <v>605</v>
      </c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1">
        <v>10</v>
      </c>
      <c r="Q310" s="91">
        <v>10</v>
      </c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.25" customHeight="1" x14ac:dyDescent="0.35">
      <c r="A311" s="89" t="s">
        <v>607</v>
      </c>
      <c r="B311" s="89" t="s">
        <v>605</v>
      </c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1">
        <v>2</v>
      </c>
      <c r="Q311" s="91">
        <v>2</v>
      </c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 x14ac:dyDescent="0.35">
      <c r="A312" s="89" t="s">
        <v>608</v>
      </c>
      <c r="B312" s="89" t="s">
        <v>605</v>
      </c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1">
        <v>10</v>
      </c>
      <c r="Q312" s="91">
        <v>10</v>
      </c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 x14ac:dyDescent="0.35">
      <c r="A313" s="89" t="s">
        <v>609</v>
      </c>
      <c r="B313" s="89" t="s">
        <v>605</v>
      </c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1">
        <v>39</v>
      </c>
      <c r="Q313" s="91">
        <v>39</v>
      </c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 x14ac:dyDescent="0.35">
      <c r="A314" s="89" t="s">
        <v>610</v>
      </c>
      <c r="B314" s="89" t="s">
        <v>605</v>
      </c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1">
        <v>3</v>
      </c>
      <c r="Q314" s="91">
        <v>3</v>
      </c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 x14ac:dyDescent="0.35">
      <c r="A315" s="89" t="s">
        <v>611</v>
      </c>
      <c r="B315" s="89" t="s">
        <v>605</v>
      </c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1">
        <v>6</v>
      </c>
      <c r="Q315" s="91">
        <v>6</v>
      </c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 x14ac:dyDescent="0.35">
      <c r="A316" s="89" t="s">
        <v>612</v>
      </c>
      <c r="B316" s="89" t="s">
        <v>605</v>
      </c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1">
        <v>19</v>
      </c>
      <c r="Q316" s="91">
        <v>19</v>
      </c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 x14ac:dyDescent="0.35">
      <c r="A317" s="89" t="s">
        <v>613</v>
      </c>
      <c r="B317" s="89" t="s">
        <v>605</v>
      </c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1">
        <v>72</v>
      </c>
      <c r="Q317" s="91">
        <v>72</v>
      </c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 x14ac:dyDescent="0.35">
      <c r="A318" s="92" t="s">
        <v>614</v>
      </c>
      <c r="B318" s="89" t="s">
        <v>605</v>
      </c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4">
        <v>12</v>
      </c>
      <c r="Q318" s="94">
        <v>12</v>
      </c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 x14ac:dyDescent="0.35">
      <c r="A319" s="98"/>
      <c r="B319" s="98" t="s">
        <v>615</v>
      </c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9">
        <v>175</v>
      </c>
      <c r="Q319" s="99">
        <v>175</v>
      </c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 x14ac:dyDescent="0.35">
      <c r="A320" s="82"/>
      <c r="B320" s="100" t="s">
        <v>352</v>
      </c>
      <c r="C320" s="101">
        <v>83</v>
      </c>
      <c r="D320" s="101">
        <v>452</v>
      </c>
      <c r="E320" s="101">
        <v>400</v>
      </c>
      <c r="F320" s="101">
        <v>737</v>
      </c>
      <c r="G320" s="101">
        <v>1126</v>
      </c>
      <c r="H320" s="101">
        <v>2724</v>
      </c>
      <c r="I320" s="101">
        <v>1419</v>
      </c>
      <c r="J320" s="101">
        <v>10243</v>
      </c>
      <c r="K320" s="101">
        <v>35852</v>
      </c>
      <c r="L320" s="101">
        <v>20795</v>
      </c>
      <c r="M320" s="101">
        <v>15570</v>
      </c>
      <c r="N320" s="101">
        <v>22971</v>
      </c>
      <c r="O320" s="101">
        <v>4678</v>
      </c>
      <c r="P320" s="101">
        <v>2774</v>
      </c>
      <c r="Q320" s="101">
        <v>119824</v>
      </c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.25" customHeight="1" x14ac:dyDescent="0.3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.25" customHeight="1" x14ac:dyDescent="0.3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.25" customHeight="1" x14ac:dyDescent="0.3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.25" customHeight="1" x14ac:dyDescent="0.3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.25" customHeight="1" x14ac:dyDescent="0.3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.25" customHeight="1" x14ac:dyDescent="0.3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.25" customHeight="1" x14ac:dyDescent="0.3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.25" customHeight="1" x14ac:dyDescent="0.3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.25" customHeight="1" x14ac:dyDescent="0.3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.25" customHeight="1" x14ac:dyDescent="0.3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.25" customHeight="1" x14ac:dyDescent="0.3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.25" customHeight="1" x14ac:dyDescent="0.3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.25" customHeight="1" x14ac:dyDescent="0.3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.25" customHeight="1" x14ac:dyDescent="0.3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.25" customHeight="1" x14ac:dyDescent="0.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.25" customHeight="1" x14ac:dyDescent="0.3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.25" customHeight="1" x14ac:dyDescent="0.3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.25" customHeight="1" x14ac:dyDescent="0.3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.25" customHeight="1" x14ac:dyDescent="0.3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.25" customHeight="1" x14ac:dyDescent="0.3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.25" customHeight="1" x14ac:dyDescent="0.3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.25" customHeight="1" x14ac:dyDescent="0.3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.25" customHeight="1" x14ac:dyDescent="0.3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.25" customHeight="1" x14ac:dyDescent="0.3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.25" customHeight="1" x14ac:dyDescent="0.3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.25" customHeight="1" x14ac:dyDescent="0.3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.25" customHeight="1" x14ac:dyDescent="0.3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.25" customHeight="1" x14ac:dyDescent="0.3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.25" customHeight="1" x14ac:dyDescent="0.3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.25" customHeight="1" x14ac:dyDescent="0.3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.25" customHeight="1" x14ac:dyDescent="0.3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.25" customHeight="1" x14ac:dyDescent="0.3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.25" customHeight="1" x14ac:dyDescent="0.3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.25" customHeight="1" x14ac:dyDescent="0.3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.25" customHeight="1" x14ac:dyDescent="0.3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.25" customHeight="1" x14ac:dyDescent="0.3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.25" customHeight="1" x14ac:dyDescent="0.3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.25" customHeight="1" x14ac:dyDescent="0.3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.25" customHeight="1" x14ac:dyDescent="0.3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.25" customHeight="1" x14ac:dyDescent="0.3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.25" customHeight="1" x14ac:dyDescent="0.3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.25" customHeight="1" x14ac:dyDescent="0.3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.25" customHeight="1" x14ac:dyDescent="0.3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.25" customHeight="1" x14ac:dyDescent="0.3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.25" customHeight="1" x14ac:dyDescent="0.3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.25" customHeight="1" x14ac:dyDescent="0.3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.25" customHeight="1" x14ac:dyDescent="0.3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.25" customHeight="1" x14ac:dyDescent="0.3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.25" customHeight="1" x14ac:dyDescent="0.3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.25" customHeight="1" x14ac:dyDescent="0.3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.25" customHeight="1" x14ac:dyDescent="0.3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.25" customHeight="1" x14ac:dyDescent="0.3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.25" customHeight="1" x14ac:dyDescent="0.3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.25" customHeight="1" x14ac:dyDescent="0.3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.25" customHeight="1" x14ac:dyDescent="0.3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.25" customHeight="1" x14ac:dyDescent="0.3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.25" customHeight="1" x14ac:dyDescent="0.3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.25" customHeight="1" x14ac:dyDescent="0.3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.25" customHeight="1" x14ac:dyDescent="0.3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.25" customHeight="1" x14ac:dyDescent="0.3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.25" customHeight="1" x14ac:dyDescent="0.3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.25" customHeight="1" x14ac:dyDescent="0.3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.25" customHeight="1" x14ac:dyDescent="0.3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.25" customHeight="1" x14ac:dyDescent="0.3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.25" customHeight="1" x14ac:dyDescent="0.3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.25" customHeight="1" x14ac:dyDescent="0.3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.25" customHeight="1" x14ac:dyDescent="0.3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.25" customHeight="1" x14ac:dyDescent="0.3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.25" customHeight="1" x14ac:dyDescent="0.3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.25" customHeight="1" x14ac:dyDescent="0.3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.25" customHeight="1" x14ac:dyDescent="0.3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.25" customHeight="1" x14ac:dyDescent="0.3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.25" customHeight="1" x14ac:dyDescent="0.3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 x14ac:dyDescent="0.3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 x14ac:dyDescent="0.3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 x14ac:dyDescent="0.3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 x14ac:dyDescent="0.3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 x14ac:dyDescent="0.3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 x14ac:dyDescent="0.3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 x14ac:dyDescent="0.3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 x14ac:dyDescent="0.3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 x14ac:dyDescent="0.3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 x14ac:dyDescent="0.3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 x14ac:dyDescent="0.3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 x14ac:dyDescent="0.3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 x14ac:dyDescent="0.3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 x14ac:dyDescent="0.3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.25" customHeight="1" x14ac:dyDescent="0.3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.25" customHeight="1" x14ac:dyDescent="0.3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.25" customHeight="1" x14ac:dyDescent="0.3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.25" customHeight="1" x14ac:dyDescent="0.3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.25" customHeight="1" x14ac:dyDescent="0.3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.25" customHeight="1" x14ac:dyDescent="0.3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.25" customHeight="1" x14ac:dyDescent="0.3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.25" customHeight="1" x14ac:dyDescent="0.3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.25" customHeight="1" x14ac:dyDescent="0.3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.25" customHeight="1" x14ac:dyDescent="0.3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.25" customHeight="1" x14ac:dyDescent="0.3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.25" customHeight="1" x14ac:dyDescent="0.3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.25" customHeight="1" x14ac:dyDescent="0.3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.25" customHeight="1" x14ac:dyDescent="0.3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.25" customHeight="1" x14ac:dyDescent="0.3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.25" customHeight="1" x14ac:dyDescent="0.3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.25" customHeight="1" x14ac:dyDescent="0.3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.25" customHeight="1" x14ac:dyDescent="0.3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.25" customHeight="1" x14ac:dyDescent="0.3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.25" customHeight="1" x14ac:dyDescent="0.3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.25" customHeight="1" x14ac:dyDescent="0.3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.25" customHeight="1" x14ac:dyDescent="0.3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.25" customHeight="1" x14ac:dyDescent="0.3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.25" customHeight="1" x14ac:dyDescent="0.3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.25" customHeight="1" x14ac:dyDescent="0.3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.25" customHeight="1" x14ac:dyDescent="0.3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.25" customHeight="1" x14ac:dyDescent="0.3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.25" customHeight="1" x14ac:dyDescent="0.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.25" customHeight="1" x14ac:dyDescent="0.3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.25" customHeight="1" x14ac:dyDescent="0.3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.25" customHeight="1" x14ac:dyDescent="0.3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.25" customHeight="1" x14ac:dyDescent="0.3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.25" customHeight="1" x14ac:dyDescent="0.3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.25" customHeight="1" x14ac:dyDescent="0.3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.25" customHeight="1" x14ac:dyDescent="0.3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.25" customHeight="1" x14ac:dyDescent="0.3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.25" customHeight="1" x14ac:dyDescent="0.3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.25" customHeight="1" x14ac:dyDescent="0.3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.25" customHeight="1" x14ac:dyDescent="0.3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.25" customHeight="1" x14ac:dyDescent="0.3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.25" customHeight="1" x14ac:dyDescent="0.3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.25" customHeight="1" x14ac:dyDescent="0.3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.25" customHeight="1" x14ac:dyDescent="0.3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.25" customHeight="1" x14ac:dyDescent="0.3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.25" customHeight="1" x14ac:dyDescent="0.3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.25" customHeight="1" x14ac:dyDescent="0.3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.25" customHeight="1" x14ac:dyDescent="0.3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.25" customHeight="1" x14ac:dyDescent="0.3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.25" customHeight="1" x14ac:dyDescent="0.3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.25" customHeight="1" x14ac:dyDescent="0.3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.25" customHeight="1" x14ac:dyDescent="0.3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.25" customHeight="1" x14ac:dyDescent="0.3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.25" customHeight="1" x14ac:dyDescent="0.3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.25" customHeight="1" x14ac:dyDescent="0.3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.25" customHeight="1" x14ac:dyDescent="0.3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.25" customHeight="1" x14ac:dyDescent="0.3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.25" customHeight="1" x14ac:dyDescent="0.3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.25" customHeight="1" x14ac:dyDescent="0.3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.25" customHeight="1" x14ac:dyDescent="0.3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.25" customHeight="1" x14ac:dyDescent="0.3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.25" customHeight="1" x14ac:dyDescent="0.3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.25" customHeight="1" x14ac:dyDescent="0.3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.25" customHeight="1" x14ac:dyDescent="0.3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.25" customHeight="1" x14ac:dyDescent="0.3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.25" customHeight="1" x14ac:dyDescent="0.3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.25" customHeight="1" x14ac:dyDescent="0.3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.25" customHeight="1" x14ac:dyDescent="0.3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.25" customHeight="1" x14ac:dyDescent="0.3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.25" customHeight="1" x14ac:dyDescent="0.3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.25" customHeight="1" x14ac:dyDescent="0.3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.25" customHeight="1" x14ac:dyDescent="0.3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.25" customHeight="1" x14ac:dyDescent="0.3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.25" customHeight="1" x14ac:dyDescent="0.3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.25" customHeight="1" x14ac:dyDescent="0.3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.25" customHeight="1" x14ac:dyDescent="0.3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.25" customHeight="1" x14ac:dyDescent="0.3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.25" customHeight="1" x14ac:dyDescent="0.3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 x14ac:dyDescent="0.3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 x14ac:dyDescent="0.3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 x14ac:dyDescent="0.3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 x14ac:dyDescent="0.3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 x14ac:dyDescent="0.3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 x14ac:dyDescent="0.3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 x14ac:dyDescent="0.3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 x14ac:dyDescent="0.3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 x14ac:dyDescent="0.3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 x14ac:dyDescent="0.3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 x14ac:dyDescent="0.3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.25" customHeight="1" x14ac:dyDescent="0.3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.25" customHeight="1" x14ac:dyDescent="0.3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.25" customHeight="1" x14ac:dyDescent="0.3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.25" customHeight="1" x14ac:dyDescent="0.3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.25" customHeight="1" x14ac:dyDescent="0.3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.25" customHeight="1" x14ac:dyDescent="0.3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.25" customHeight="1" x14ac:dyDescent="0.3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.25" customHeight="1" x14ac:dyDescent="0.3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.25" customHeight="1" x14ac:dyDescent="0.3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.25" customHeight="1" x14ac:dyDescent="0.3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.25" customHeight="1" x14ac:dyDescent="0.3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.25" customHeight="1" x14ac:dyDescent="0.3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.25" customHeight="1" x14ac:dyDescent="0.3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.25" customHeight="1" x14ac:dyDescent="0.3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.25" customHeight="1" x14ac:dyDescent="0.3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.25" customHeight="1" x14ac:dyDescent="0.3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.25" customHeight="1" x14ac:dyDescent="0.3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.25" customHeight="1" x14ac:dyDescent="0.3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.25" customHeight="1" x14ac:dyDescent="0.3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.25" customHeight="1" x14ac:dyDescent="0.3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.25" customHeight="1" x14ac:dyDescent="0.3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.25" customHeight="1" x14ac:dyDescent="0.3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.25" customHeight="1" x14ac:dyDescent="0.3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.25" customHeight="1" x14ac:dyDescent="0.3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.25" customHeight="1" x14ac:dyDescent="0.3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.25" customHeight="1" x14ac:dyDescent="0.35"/>
    <row r="522" spans="1:26" ht="14.25" customHeight="1" x14ac:dyDescent="0.35"/>
    <row r="523" spans="1:26" ht="14.25" customHeight="1" x14ac:dyDescent="0.35"/>
    <row r="524" spans="1:26" ht="14.25" customHeight="1" x14ac:dyDescent="0.35"/>
    <row r="525" spans="1:26" ht="14.25" customHeight="1" x14ac:dyDescent="0.35"/>
    <row r="526" spans="1:26" ht="14.25" customHeight="1" x14ac:dyDescent="0.35"/>
    <row r="527" spans="1:26" ht="14.25" customHeight="1" x14ac:dyDescent="0.35"/>
    <row r="528" spans="1:26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HP Current Models consolidated</vt:lpstr>
      <vt:lpstr>New HP Devices</vt:lpstr>
      <vt:lpstr>New Lenovo Devices</vt:lpstr>
      <vt:lpstr>New Dell devices</vt:lpstr>
      <vt:lpstr>Profile devices mapping</vt:lpstr>
      <vt:lpstr>Current HPE enrichment</vt:lpstr>
      <vt:lpstr>Full current HP extraction</vt:lpstr>
      <vt:lpstr>profile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Buitrago, Daniel {AQCC~MADRID-OSIRIS}</dc:creator>
  <cp:lastModifiedBy>Cia, Jesus {ABAB~MADRID-OSIRIS}</cp:lastModifiedBy>
  <dcterms:created xsi:type="dcterms:W3CDTF">2026-02-02T17:48:24Z</dcterms:created>
  <dcterms:modified xsi:type="dcterms:W3CDTF">2026-07-09T11:40:38Z</dcterms:modified>
</cp:coreProperties>
</file>